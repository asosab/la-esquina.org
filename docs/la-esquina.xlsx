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puestos" sheetId="1" state="visible" r:id="rId1"/>
    <sheet xmlns:r="http://schemas.openxmlformats.org/officeDocument/2006/relationships" name="Punto de equilibrio" sheetId="2" state="visible" r:id="rId2"/>
    <sheet xmlns:r="http://schemas.openxmlformats.org/officeDocument/2006/relationships" name="Proyección 24 meses" sheetId="3" state="visible" r:id="rId3"/>
  </sheets>
  <definedNames/>
  <calcPr calcId="124519" fullCalcOnLoad="1"/>
</workbook>
</file>

<file path=xl/styles.xml><?xml version="1.0" encoding="utf-8"?>
<styleSheet xmlns="http://schemas.openxmlformats.org/spreadsheetml/2006/main">
  <numFmts count="2">
    <numFmt numFmtId="164" formatCode="0.0%"/>
    <numFmt numFmtId="165" formatCode="\$#,##0.00;&quot;($&quot;#,##0.00\);\-"/>
  </numFmts>
  <fonts count="10">
    <font>
      <name val="Calibri"/>
      <color theme="1"/>
      <sz val="11"/>
      <scheme val="minor"/>
    </font>
    <font>
      <name val="Arial"/>
      <b val="1"/>
      <color theme="1"/>
      <sz val="13"/>
    </font>
    <font>
      <name val="Arial"/>
      <b val="1"/>
      <color theme="1"/>
      <sz val="11"/>
    </font>
    <font>
      <name val="Arial"/>
      <b val="1"/>
      <color rgb="FFFFFFFF"/>
      <sz val="11"/>
    </font>
    <font>
      <name val="Calibri"/>
      <color theme="1"/>
      <sz val="11"/>
    </font>
    <font>
      <name val="Arial"/>
      <color rgb="FF000000"/>
      <sz val="11"/>
    </font>
    <font>
      <name val="Arial"/>
      <color rgb="FF0000FF"/>
      <sz val="11"/>
    </font>
    <font>
      <name val="Arial"/>
      <color rgb="FF008000"/>
      <sz val="11"/>
    </font>
    <font>
      <name val="Arial"/>
      <i val="1"/>
      <color rgb="FF808080"/>
      <sz val="11"/>
    </font>
    <font>
      <name val="Calibri"/>
      <color theme="1"/>
    </font>
  </fonts>
  <fills count="6">
    <fill>
      <patternFill/>
    </fill>
    <fill>
      <patternFill patternType="lightGray"/>
    </fill>
    <fill>
      <patternFill patternType="solid">
        <fgColor rgb="FF4472C4"/>
        <bgColor rgb="FF4472C4"/>
      </patternFill>
    </fill>
    <fill>
      <patternFill patternType="solid">
        <fgColor rgb="FFD9E1F2"/>
        <bgColor rgb="FFD9E1F2"/>
      </patternFill>
    </fill>
    <fill>
      <patternFill patternType="solid">
        <fgColor rgb="FFFFFF00"/>
        <bgColor rgb="FFFFFF00"/>
      </patternFill>
    </fill>
    <fill>
      <patternFill patternType="solid">
        <fgColor rgb="FFFCE4D6"/>
        <bgColor rgb="FFFCE4D6"/>
      </patternFill>
    </fill>
  </fills>
  <borders count="2">
    <border/>
    <border>
      <left/>
      <right/>
      <top/>
      <bottom/>
    </border>
  </borders>
  <cellStyleXfs count="1">
    <xf numFmtId="0" fontId="0" fillId="0" borderId="0"/>
  </cellStyleXfs>
  <cellXfs count="33">
    <xf numFmtId="0" fontId="0"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3" fillId="2" borderId="1" applyAlignment="1" pivotButton="0" quotePrefix="0" xfId="0">
      <alignment vertical="bottom"/>
    </xf>
    <xf numFmtId="0" fontId="2" fillId="3" borderId="1" applyAlignment="1" pivotButton="0" quotePrefix="0" xfId="0">
      <alignment vertical="bottom"/>
    </xf>
    <xf numFmtId="0" fontId="4" fillId="2" borderId="1" applyAlignment="1" pivotButton="0" quotePrefix="0" xfId="0">
      <alignment vertical="bottom"/>
    </xf>
    <xf numFmtId="0" fontId="5" fillId="0" borderId="0" applyAlignment="1" pivotButton="0" quotePrefix="0" xfId="0">
      <alignment vertical="bottom"/>
    </xf>
    <xf numFmtId="1" fontId="6" fillId="0" borderId="0" applyAlignment="1" pivotButton="0" quotePrefix="0" xfId="0">
      <alignment vertical="bottom"/>
    </xf>
    <xf numFmtId="1" fontId="6" fillId="4" borderId="1" applyAlignment="1" pivotButton="0" quotePrefix="0" xfId="0">
      <alignment vertical="bottom"/>
    </xf>
    <xf numFmtId="1" fontId="7" fillId="0" borderId="0" applyAlignment="1" pivotButton="0" quotePrefix="0" xfId="0">
      <alignment vertical="bottom"/>
    </xf>
    <xf numFmtId="1" fontId="2" fillId="0" borderId="0" applyAlignment="1" pivotButton="0" quotePrefix="0" xfId="0">
      <alignment vertical="bottom"/>
    </xf>
    <xf numFmtId="164" fontId="6" fillId="4" borderId="1" applyAlignment="1" pivotButton="0" quotePrefix="0" xfId="0">
      <alignment vertical="bottom"/>
    </xf>
    <xf numFmtId="164" fontId="7" fillId="0" borderId="0" applyAlignment="1" pivotButton="0" quotePrefix="0" xfId="0">
      <alignment vertical="bottom"/>
    </xf>
    <xf numFmtId="165" fontId="6" fillId="0" borderId="0" applyAlignment="1" pivotButton="0" quotePrefix="0" xfId="0">
      <alignment vertical="bottom"/>
    </xf>
    <xf numFmtId="164" fontId="5" fillId="0" borderId="0" applyAlignment="1" pivotButton="0" quotePrefix="0" xfId="0">
      <alignment vertical="bottom"/>
    </xf>
    <xf numFmtId="0" fontId="6" fillId="0" borderId="0" applyAlignment="1" pivotButton="0" quotePrefix="0" xfId="0">
      <alignment vertical="bottom"/>
    </xf>
    <xf numFmtId="165" fontId="7" fillId="0" borderId="0" applyAlignment="1" pivotButton="0" quotePrefix="0" xfId="0">
      <alignment vertical="bottom"/>
    </xf>
    <xf numFmtId="165" fontId="2" fillId="0" borderId="0" applyAlignment="1" pivotButton="0" quotePrefix="0" xfId="0">
      <alignment vertical="bottom"/>
    </xf>
    <xf numFmtId="165" fontId="5" fillId="0" borderId="0" applyAlignment="1" pivotButton="0" quotePrefix="0" xfId="0">
      <alignment vertical="bottom"/>
    </xf>
    <xf numFmtId="165" fontId="6" fillId="4" borderId="1" applyAlignment="1" pivotButton="0" quotePrefix="0" xfId="0">
      <alignment vertical="bottom"/>
    </xf>
    <xf numFmtId="164" fontId="6" fillId="0" borderId="0" applyAlignment="1" pivotButton="0" quotePrefix="0" xfId="0">
      <alignment vertical="bottom"/>
    </xf>
    <xf numFmtId="0" fontId="8" fillId="0" borderId="0" applyAlignment="1" pivotButton="0" quotePrefix="0" xfId="0">
      <alignment vertical="bottom"/>
    </xf>
    <xf numFmtId="0" fontId="8" fillId="0" borderId="0" applyAlignment="1" pivotButton="0" quotePrefix="0" xfId="0">
      <alignment vertical="bottom" wrapText="1"/>
    </xf>
    <xf numFmtId="2" fontId="6" fillId="5" borderId="1" applyAlignment="1" pivotButton="0" quotePrefix="0" xfId="0">
      <alignment vertical="bottom"/>
    </xf>
    <xf numFmtId="164" fontId="6" fillId="5" borderId="1" applyAlignment="1" pivotButton="0" quotePrefix="0" xfId="0">
      <alignment vertical="bottom"/>
    </xf>
    <xf numFmtId="165" fontId="8" fillId="0" borderId="0" applyAlignment="1" pivotButton="0" quotePrefix="0" xfId="0">
      <alignment vertical="bottom"/>
    </xf>
    <xf numFmtId="165" fontId="6" fillId="0" borderId="0" applyAlignment="1" pivotButton="0" quotePrefix="0" xfId="0">
      <alignment vertical="bottom"/>
    </xf>
    <xf numFmtId="0" fontId="5" fillId="0" borderId="0" applyAlignment="1" pivotButton="0" quotePrefix="0" xfId="0">
      <alignment vertical="bottom"/>
    </xf>
    <xf numFmtId="1" fontId="5" fillId="0" borderId="0" applyAlignment="1" pivotButton="0" quotePrefix="0" xfId="0">
      <alignment vertical="bottom"/>
    </xf>
    <xf numFmtId="0" fontId="2" fillId="5" borderId="1" applyAlignment="1" pivotButton="0" quotePrefix="0" xfId="0">
      <alignment vertical="bottom"/>
    </xf>
    <xf numFmtId="0" fontId="9" fillId="0" borderId="0" pivotButton="0" quotePrefix="0" xfId="0"/>
    <xf numFmtId="165" fontId="4" fillId="0" borderId="0" applyAlignment="1" pivotButton="0" quotePrefix="0" xfId="0">
      <alignmen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None</author>
  </authors>
  <commentList>
    <comment ref="B5" authorId="0" shapeId="0">
      <text>
        <t>======
ID#AAACC1jmkO4
Unknown Author    (2026-09-10 21:02:58)
2 de los 150 estantes se reservan para intercambio o donación (por ejemplo, gestos de reciprocidad institucional) y no generan cuota.</t>
      </text>
    </comment>
    <comment ref="B19" authorId="0" shapeId="0">
      <text>
        <t>======
ID#AAACC1jmkPI
Unknown Author    (2026-09-10 21:02:58)
Costo semanal de un botellón de agua para el dispensador Villa Santa.</t>
      </text>
    </comment>
    <comment ref="B48" authorId="0" shapeId="0">
      <text>
        <t>======
ID#AAACC1jmkPQ
Unknown Author    (2026-09-10 21:02:58)
Informativo, consultado en septiembre de 2026. No se usa en los cálculos porque el modelo trabaja íntegramente en USD.</t>
      </text>
    </comment>
    <comment ref="B50" authorId="0" shapeId="0">
      <text>
        <t>======
ID#AAACC1jmkPM
Unknown Author    (2026-09-10 21:02:58)
Supuesto conservador de planificación (no es un dato oficial): redondea hacia arriba la proyección de inflación 2026 del BCB (9,22%). Ajustar con datos reales de los contratos.</t>
      </text>
    </comment>
    <comment ref="B54" authorId="0" shapeId="0">
      <text>
        <t>======
ID#AAACC1jmkPA
Unknown Author    (2026-09-10 21:02:58)
Peor escenario: se asume 0 apoyos. El proyecto puede recibir apoyos reales más adelante, pero no se cuentan aquí para mantener el cálculo conservador.</t>
      </text>
    </comment>
    <comment ref="B59" authorId="0" shapeId="0">
      <text>
        <t>======
ID#AAACC1jmkO0
Unknown Author    (2026-09-10 21:02:58)
Monto arbitrario elegido como punto de partida. No incluido en los cálculos financieros del peor escenario.</t>
      </text>
    </comment>
    <comment ref="B66" authorId="0" shapeId="0">
      <text>
        <t>======
ID#AAACC1jmkO8
Unknown Author    (2026-09-10 21:02:58)
1 mes de alquiler como depósito de garantía. No se cuenta el mes de alquiler 'adelantado' aparte, porque ese mes ya está incluido en los 12 meses de operación (ver 'Necesidad de caja para el año 1').</t>
      </text>
    </comment>
    <comment ref="B68" authorId="0" shapeId="0">
      <text>
        <t>======
ID#AAACC1jmkOw
Unknown Author    (2026-09-10 21:02:58)
Compra única del dispensador. El costo recurrente del botellón semanal se cuenta en Costos Fijos Mensuales, no aquí.</t>
      </text>
    </comment>
    <comment ref="B69" authorId="0" shapeId="0">
      <text>
        <t>======
ID#AAACC1jmkPE
Unknown Author    (2026-09-10 21:02:58)
Cotización real: 2 muebles de 60 estantes c/u (120 estantes) por USD 2.336 -&gt; USD 19,47/estante. Triangulado a 150 estantes físicos = USD 2.920. Se construyen los 150 módulos aunque 2 no generen cuota.</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8"/>
  <sheetViews>
    <sheetView showGridLines="0" workbookViewId="0">
      <pane ySplit="1" topLeftCell="A2" activePane="bottomLeft" state="frozen"/>
      <selection pane="bottomLeft" activeCell="B3" sqref="B3"/>
    </sheetView>
  </sheetViews>
  <sheetFormatPr baseColWidth="8" defaultColWidth="14.43" defaultRowHeight="15" customHeight="1"/>
  <cols>
    <col width="70" customWidth="1" style="32" min="1" max="1"/>
    <col width="22" customWidth="1" style="32" min="2" max="2"/>
    <col width="8.710000000000001" customWidth="1" style="32" min="3" max="26"/>
  </cols>
  <sheetData>
    <row r="1">
      <c r="A1" s="1" t="inlineStr">
        <is>
          <t>Supuestos — La Esquina (peor escenario: 148 estantes, cuota USD 9, sin Miedos ni suscripciones)</t>
        </is>
      </c>
    </row>
    <row r="2"/>
    <row r="3">
      <c r="A3" s="3" t="inlineStr">
        <is>
          <t>ESTANTES Y CUOTAS</t>
        </is>
      </c>
      <c r="B3" s="5" t="n"/>
    </row>
    <row r="4">
      <c r="A4" s="27" t="inlineStr">
        <is>
          <t>Número total de estantes (físicos, a construir)</t>
        </is>
      </c>
      <c r="B4" s="7" t="n">
        <v>150</v>
      </c>
    </row>
    <row r="5">
      <c r="A5" s="27" t="inlineStr">
        <is>
          <t>Estantes reservados para intercambio / donación (no pagan cuota)</t>
        </is>
      </c>
      <c r="B5" s="8" t="n">
        <v>2</v>
      </c>
    </row>
    <row r="6">
      <c r="A6" s="2" t="inlineStr">
        <is>
          <t>Estantes disponibles para alquiler (base de ingresos)</t>
        </is>
      </c>
      <c r="B6" s="10">
        <f>B4-B5</f>
        <v/>
      </c>
    </row>
    <row r="7">
      <c r="A7" s="27" t="inlineStr">
        <is>
          <t>Meta de preventa antes de construir e inaugurar (% de los estantes disponibles)</t>
        </is>
      </c>
      <c r="B7" s="11" t="n">
        <v>1</v>
      </c>
    </row>
    <row r="8">
      <c r="A8" s="2" t="inlineStr">
        <is>
          <t>Estantes meta antes de abrir (pagando)</t>
        </is>
      </c>
      <c r="B8" s="10">
        <f>B6*B7</f>
        <v/>
      </c>
    </row>
    <row r="9">
      <c r="A9" s="27" t="inlineStr">
        <is>
          <t>Cuota mensual por estante (USD/mes)</t>
        </is>
      </c>
      <c r="B9" s="26" t="n">
        <v>9</v>
      </c>
    </row>
    <row r="10">
      <c r="A10" s="27" t="inlineStr">
        <is>
          <t>Modalidad de pago</t>
        </is>
      </c>
      <c r="B10" s="15" t="inlineStr">
        <is>
          <t>Anual adelantado (12 meses), única modalidad</t>
        </is>
      </c>
    </row>
    <row r="11">
      <c r="A11" s="2" t="inlineStr">
        <is>
          <t>Pago adelantado por estante (USD/año)</t>
        </is>
      </c>
      <c r="B11" s="17">
        <f>B9*12</f>
        <v/>
      </c>
    </row>
    <row r="12">
      <c r="A12" s="27" t="inlineStr">
        <is>
          <t>Tamaño del estante (alto x ancho x profundidad, cm)</t>
        </is>
      </c>
      <c r="B12" s="15" t="inlineStr">
        <is>
          <t>35 x 50 x 35</t>
        </is>
      </c>
    </row>
    <row r="13"/>
    <row r="14">
      <c r="A14" s="3" t="inlineStr">
        <is>
          <t>APERTURA Y CRECIMIENTO POST-APERTURA</t>
        </is>
      </c>
      <c r="B14" s="5" t="n"/>
    </row>
    <row r="15">
      <c r="A15" s="27" t="inlineStr">
        <is>
          <t>Tasa de renovación anual (%)</t>
        </is>
      </c>
      <c r="B15" s="11" t="n">
        <v>0.85</v>
      </c>
    </row>
    <row r="16">
      <c r="A16" s="27" t="inlineStr">
        <is>
          <t>Estantes nuevos por mes tras una salida (crecimiento)</t>
        </is>
      </c>
      <c r="B16" s="8" t="n">
        <v>5</v>
      </c>
    </row>
    <row r="17"/>
    <row r="18">
      <c r="A18" s="3" t="inlineStr">
        <is>
          <t>AGUA EMBOTELLADA (supuestos para prorratear a costo mensual)</t>
        </is>
      </c>
      <c r="B18" s="5" t="n"/>
    </row>
    <row r="19">
      <c r="A19" s="27" t="inlineStr">
        <is>
          <t>Botellón de agua (USD/semana)</t>
        </is>
      </c>
      <c r="B19" s="19" t="n">
        <v>1.5</v>
      </c>
    </row>
    <row r="20">
      <c r="A20" s="27" t="inlineStr">
        <is>
          <t>Semanas por año (para prorratear el botellón a costo mensual)</t>
        </is>
      </c>
      <c r="B20" s="7" t="n">
        <v>52</v>
      </c>
    </row>
    <row r="21" ht="15.75" customHeight="1" s="32">
      <c r="A21" s="27" t="inlineStr">
        <is>
          <t>Botellón de agua, equivalente mensual (USD) — se suma abajo en Costos Fijos</t>
        </is>
      </c>
      <c r="B21" s="18">
        <f>B19*B20/12</f>
        <v/>
      </c>
    </row>
    <row r="22" ht="15.75" customHeight="1" s="32"/>
    <row r="23" ht="15.75" customHeight="1" s="32">
      <c r="A23" s="3" t="inlineStr">
        <is>
          <t>COSTOS FIJOS MENSUALES (USD)</t>
        </is>
      </c>
      <c r="B23" s="5" t="n"/>
    </row>
    <row r="24" ht="15.75" customHeight="1" s="32">
      <c r="A24" s="27" t="inlineStr">
        <is>
          <t>Alquiler</t>
        </is>
      </c>
      <c r="B24" s="26" t="n">
        <v>220</v>
      </c>
    </row>
    <row r="25" ht="15.75" customHeight="1" s="32">
      <c r="A25" s="27" t="inlineStr">
        <is>
          <t>Electricidad</t>
        </is>
      </c>
      <c r="B25" s="26" t="n">
        <v>40</v>
      </c>
    </row>
    <row r="26" ht="15.75" customHeight="1" s="32">
      <c r="A26" s="27" t="inlineStr">
        <is>
          <t>Internet</t>
        </is>
      </c>
      <c r="B26" s="26" t="n">
        <v>16</v>
      </c>
    </row>
    <row r="27" ht="15.75" customHeight="1" s="32">
      <c r="A27" s="27" t="inlineStr">
        <is>
          <t>Agua (servicio regular)</t>
        </is>
      </c>
      <c r="B27" s="26" t="n">
        <v>10</v>
      </c>
    </row>
    <row r="28" ht="15.75" customHeight="1" s="32">
      <c r="A28" s="27" t="inlineStr">
        <is>
          <t>Publicidad</t>
        </is>
      </c>
      <c r="B28" s="26" t="n">
        <v>10</v>
      </c>
    </row>
    <row r="29" ht="15.75" customHeight="1" s="32">
      <c r="A29" s="27" t="inlineStr">
        <is>
          <t>Limpieza</t>
        </is>
      </c>
      <c r="B29" s="26" t="n">
        <v>30</v>
      </c>
    </row>
    <row r="30" ht="15.75" customHeight="1" s="32">
      <c r="A30" s="27" t="inlineStr">
        <is>
          <t>Mantenimiento del sitio web</t>
        </is>
      </c>
      <c r="B30" s="26" t="n">
        <v>15</v>
      </c>
    </row>
    <row r="31" ht="15.75" customHeight="1" s="32">
      <c r="A31" s="27" t="inlineStr">
        <is>
          <t>Dominio (prorrateo renovación anual)</t>
        </is>
      </c>
      <c r="B31" s="26" t="n">
        <v>1.25</v>
      </c>
    </row>
    <row r="32" ht="15.75" customHeight="1" s="32">
      <c r="A32" s="27" t="inlineStr">
        <is>
          <t>Botellón de agua, equivalente mensual (ver supuesto arriba)</t>
        </is>
      </c>
      <c r="B32" s="18">
        <f>B21</f>
        <v/>
      </c>
    </row>
    <row r="33" ht="15.75" customHeight="1" s="32">
      <c r="A33" s="2" t="inlineStr">
        <is>
          <t>Subtotal servicios + operativos</t>
        </is>
      </c>
      <c r="B33" s="17">
        <f>SUM(B24:B32)</f>
        <v/>
      </c>
    </row>
    <row r="34" ht="15.75" customHeight="1" s="32">
      <c r="A34" s="27" t="inlineStr">
        <is>
          <t>Margen de variabilidad (%)</t>
        </is>
      </c>
      <c r="B34" s="20" t="n">
        <v>0.1</v>
      </c>
    </row>
    <row r="35" ht="15.75" customHeight="1" s="32">
      <c r="A35" s="27" t="inlineStr">
        <is>
          <t>Margen de variabilidad (USD)</t>
        </is>
      </c>
      <c r="B35" s="18">
        <f>B33*B34</f>
        <v/>
      </c>
    </row>
    <row r="36" ht="15.75" customHeight="1" s="32">
      <c r="A36" s="27" t="inlineStr">
        <is>
          <t>Sueldo del coordinador (USD/mes)</t>
        </is>
      </c>
      <c r="B36" s="26" t="n">
        <v>370</v>
      </c>
    </row>
    <row r="37" ht="15.75" customHeight="1" s="32">
      <c r="A37" s="2" t="inlineStr">
        <is>
          <t>Total costos fijos mensuales</t>
        </is>
      </c>
      <c r="B37" s="17">
        <f>B33+B35+B36</f>
        <v/>
      </c>
    </row>
    <row r="38" ht="15.75" customHeight="1" s="32"/>
    <row r="39" ht="15.75" customHeight="1" s="32">
      <c r="A39" s="3" t="inlineStr">
        <is>
          <t>RIESGO CAMBIARIO E INFLACIÓN (BOLIVIA)</t>
        </is>
      </c>
      <c r="B39" s="5" t="n"/>
    </row>
    <row r="40" ht="15.75" customHeight="1" s="32">
      <c r="A40" s="21" t="inlineStr">
        <is>
          <t>Contexto (referencia, no es un input del cálculo):</t>
        </is>
      </c>
    </row>
    <row r="41" ht="15.75" customHeight="1" s="32">
      <c r="A41" s="22" t="inlineStr">
        <is>
          <t xml:space="preserve">   • Desde nov. 2011 hasta fines de 2025, el tipo de cambio oficial estuvo fijo en Bs 6,96/USD (venta).</t>
        </is>
      </c>
    </row>
    <row r="42" ht="15.75" customHeight="1" s="32">
      <c r="A42" s="22" t="inlineStr">
        <is>
          <t xml:space="preserve">   • Entre dic. 2025 y abr. 2026 el BCB inició una flexibilización cambiaria (Valor Referencial del Dólar).</t>
        </is>
      </c>
    </row>
    <row r="43" ht="15.75" customHeight="1" s="32">
      <c r="A43" s="22" t="inlineStr">
        <is>
          <t xml:space="preserve">   • Sept. 2026: tipo de cambio oficial/referencial ≈ Bs 12,60/USD; paralelo ≈ Bs 12,30-12,50/USD (brecha 1-3%).</t>
        </is>
      </c>
    </row>
    <row r="44" ht="15.75" customHeight="1" s="32">
      <c r="A44" s="22" t="inlineStr">
        <is>
          <t xml:space="preserve">   • Inflación 2025 (cierre): 20,4% (una de las más altas en décadas, por escasez de dólares).</t>
        </is>
      </c>
    </row>
    <row r="45" ht="15.75" customHeight="1" s="32">
      <c r="A45" s="22" t="inlineStr">
        <is>
          <t xml:space="preserve">   • Inflación acumulada 2026 (ene-ago, INE): 3,01%; interanual a 12 meses (ago. 2026): 5,02%.</t>
        </is>
      </c>
    </row>
    <row r="46" ht="15.75" customHeight="1" s="32">
      <c r="A46" s="22" t="inlineStr">
        <is>
          <t xml:space="preserve">   • Proyección BCB para el cierre de 2026: 9,22%. Fuentes: BCB, INE (consultado sept. 2026).</t>
        </is>
      </c>
    </row>
    <row r="47" ht="15.75" customHeight="1" s="32"/>
    <row r="48" ht="15.75" customHeight="1" s="32">
      <c r="A48" s="27" t="inlineStr">
        <is>
          <t>Tipo de cambio de referencia BCB actual (Bs/USD, informativo)</t>
        </is>
      </c>
      <c r="B48" s="23" t="n">
        <v>12.6</v>
      </c>
    </row>
    <row r="49" ht="15.75" customHeight="1" s="32">
      <c r="A49" s="27" t="inlineStr">
        <is>
          <t>Inflación anual proyectada 2026 en Bolivia (BCB, informativo)</t>
        </is>
      </c>
      <c r="B49" s="24" t="n">
        <v>0.0922</v>
      </c>
    </row>
    <row r="50" ht="15.75" customHeight="1" s="32">
      <c r="A50" s="27" t="inlineStr">
        <is>
          <t>Ajuste anual estimado para costos en BOB (alquiler, servicios, sueldo) — supuesto de planificación</t>
        </is>
      </c>
      <c r="B50" s="11" t="n">
        <v>0.1</v>
      </c>
    </row>
    <row r="51" ht="15.75" customHeight="1" s="32">
      <c r="A51" s="21" t="inlineStr">
        <is>
          <t>Nota</t>
        </is>
      </c>
      <c r="B51" s="22" t="inlineStr">
        <is>
          <t>La cuota de estante está fijada en USD y se cobra por adelantado para 12 meses; no se ajusta a mitad de ciclo. Conviene revisar el monto de la cuota en cada renovación anual para no perder margen frente a la inflación local.</t>
        </is>
      </c>
    </row>
    <row r="52" ht="15.75" customHeight="1" s="32"/>
    <row r="53" ht="15.75" customHeight="1" s="32">
      <c r="A53" s="3" t="inlineStr">
        <is>
          <t>ESTANTE DE LOS MIEDOS (excluido del cálculo financiero — peor escenario)</t>
        </is>
      </c>
      <c r="B53" s="5" t="n"/>
    </row>
    <row r="54" ht="15.75" customHeight="1" s="32">
      <c r="A54" s="27" t="inlineStr">
        <is>
          <t>Apoyos activos (0, 1 o 2)</t>
        </is>
      </c>
      <c r="B54" s="8" t="n">
        <v>0</v>
      </c>
    </row>
    <row r="55" ht="15.75" customHeight="1" s="32">
      <c r="A55" s="27" t="inlineStr">
        <is>
          <t>Cuota por apoyo (USD/mes, informativo)</t>
        </is>
      </c>
      <c r="B55" s="26" t="n">
        <v>15</v>
      </c>
    </row>
    <row r="56" ht="15.75" customHeight="1" s="32">
      <c r="A56" s="21" t="inlineStr">
        <is>
          <t>Ingreso mensual por apoyos (informativo, no incluido en los cálculos)</t>
        </is>
      </c>
      <c r="B56" s="25">
        <f>B54*B55</f>
        <v/>
      </c>
    </row>
    <row r="57" ht="15.75" customHeight="1" s="32"/>
    <row r="58" ht="15.75" customHeight="1" s="32">
      <c r="A58" s="3" t="inlineStr">
        <is>
          <t>SUSCRIPCIÓN DE LECTORES (informativo — excluido del cálculo financiero, peor escenario)</t>
        </is>
      </c>
      <c r="B58" s="5" t="n"/>
    </row>
    <row r="59" ht="15.75" customHeight="1" s="32">
      <c r="A59" s="27" t="inlineStr">
        <is>
          <t>Monto anual de suscripción (USD/año) — provisional</t>
        </is>
      </c>
      <c r="B59" s="19" t="n">
        <v>10</v>
      </c>
    </row>
    <row r="60" ht="15.75" customHeight="1" s="32">
      <c r="A60" s="27" t="inlineStr">
        <is>
          <t>Plazo máximo de préstamo (días)</t>
        </is>
      </c>
      <c r="B60" s="7" t="n">
        <v>14</v>
      </c>
    </row>
    <row r="61" ht="15.75" customHeight="1" s="32">
      <c r="A61" s="27" t="inlineStr">
        <is>
          <t>Suscriptores estimados, año 1 (cifra arbitraria, informativo)</t>
        </is>
      </c>
      <c r="B61" s="8" t="n">
        <v>0</v>
      </c>
    </row>
    <row r="62" ht="15.75" customHeight="1" s="32">
      <c r="A62" s="21" t="inlineStr">
        <is>
          <t>Ingreso anual estimado por suscripciones (informativo, no incluido)</t>
        </is>
      </c>
      <c r="B62" s="25">
        <f>B59*B61</f>
        <v/>
      </c>
    </row>
    <row r="63" ht="15.75" customHeight="1" s="32">
      <c r="A63" s="27" t="inlineStr">
        <is>
          <t>Nota</t>
        </is>
      </c>
      <c r="B63" s="22" t="inlineStr">
        <is>
          <t>Ingreso complementario potencial, no incluido en los cálculos de este modelo (peor escenario). Se puede sumar más adelante si se confirma demanda real.</t>
        </is>
      </c>
    </row>
    <row r="64" ht="15.75" customHeight="1" s="32"/>
    <row r="65" ht="15.75" customHeight="1" s="32">
      <c r="A65" s="3" t="inlineStr">
        <is>
          <t>INVERSIÓN INICIAL (CAPEX: carpintería, mobiliario y puesta en marcha)</t>
        </is>
      </c>
      <c r="B65" s="5" t="n"/>
    </row>
    <row r="66" ht="15.75" customHeight="1" s="32">
      <c r="A66" s="27" t="inlineStr">
        <is>
          <t>Depósito de garantía (1 mes de alquiler)</t>
        </is>
      </c>
      <c r="B66" s="26" t="n">
        <v>220</v>
      </c>
    </row>
    <row r="67" ht="15.75" customHeight="1" s="32">
      <c r="A67" s="27" t="inlineStr">
        <is>
          <t>Comisión de inmobiliaria (1 mes de alquiler)</t>
        </is>
      </c>
      <c r="B67" s="26" t="n">
        <v>220</v>
      </c>
    </row>
    <row r="68" ht="15.75" customHeight="1" s="32">
      <c r="A68" s="27" t="inlineStr">
        <is>
          <t>Dispensador de agua (Villa Santa)</t>
        </is>
      </c>
      <c r="B68" s="26" t="n">
        <v>200</v>
      </c>
    </row>
    <row r="69" ht="15.75" customHeight="1" s="32">
      <c r="A69" s="27" t="inlineStr">
        <is>
          <t>Carpintería y estantes (150 módulos, 35 x 50 x 35 cm)</t>
        </is>
      </c>
      <c r="B69" s="19" t="n">
        <v>2920</v>
      </c>
    </row>
    <row r="70" ht="15.75" customHeight="1" s="32">
      <c r="A70" s="27" t="inlineStr">
        <is>
          <t>Mesas y sillas plegables</t>
        </is>
      </c>
      <c r="B70" s="26" t="n">
        <v>500</v>
      </c>
    </row>
    <row r="71" ht="15.75" customHeight="1" s="32">
      <c r="A71" s="27" t="inlineStr">
        <is>
          <t>Iluminación</t>
        </is>
      </c>
      <c r="B71" s="26" t="n">
        <v>500</v>
      </c>
    </row>
    <row r="72" ht="15.75" customHeight="1" s="32">
      <c r="A72" s="27" t="inlineStr">
        <is>
          <t>Aire acondicionado</t>
        </is>
      </c>
      <c r="B72" s="26" t="n">
        <v>400</v>
      </c>
    </row>
    <row r="73" ht="15.75" customHeight="1" s="32">
      <c r="A73" s="27" t="inlineStr">
        <is>
          <t>Acabados, pintura y señalética</t>
        </is>
      </c>
      <c r="B73" s="26" t="n">
        <v>345</v>
      </c>
    </row>
    <row r="74" ht="15.75" customHeight="1" s="32">
      <c r="A74" s="27" t="inlineStr">
        <is>
          <t>Desarrollo del sitio web + sistemas de registro usuarios y libros</t>
        </is>
      </c>
      <c r="B74" s="26" t="n">
        <v>800</v>
      </c>
    </row>
    <row r="75" ht="15.75" customHeight="1" s="32">
      <c r="A75" s="27" t="inlineStr">
        <is>
          <t>Diseño y supervisión de instalación arquitectónica</t>
        </is>
      </c>
      <c r="B75" s="26" t="n">
        <v>530</v>
      </c>
    </row>
    <row r="76" ht="15.75" customHeight="1" s="32">
      <c r="A76" s="27" t="inlineStr">
        <is>
          <t>Imprevistos y otros</t>
        </is>
      </c>
      <c r="B76" s="26" t="n">
        <v>300</v>
      </c>
    </row>
    <row r="77" ht="15.75" customHeight="1" s="32">
      <c r="A77" s="2" t="inlineStr">
        <is>
          <t>Total inversión inicial</t>
        </is>
      </c>
      <c r="B77" s="17">
        <f>SUM(B66:B76)</f>
        <v/>
      </c>
    </row>
    <row r="78" ht="15.75" customHeight="1" s="32">
      <c r="A78" s="27" t="inlineStr">
        <is>
          <t>Dominio la-esquina.org (ya pagado, no suma al total)</t>
        </is>
      </c>
      <c r="B78" s="26" t="n">
        <v>8.18</v>
      </c>
    </row>
    <row r="79" ht="15.75" customHeight="1" s="32"/>
    <row r="80" ht="15.75" customHeight="1" s="32">
      <c r="A80" s="3" t="inlineStr">
        <is>
          <t>NECESIDAD DE CAJA PARA EL AÑO 1 (peor escenario: solo cuotas de estantes)</t>
        </is>
      </c>
      <c r="B80" s="5" t="n"/>
    </row>
    <row r="81" ht="15.75" customHeight="1" s="32">
      <c r="A81" s="27" t="inlineStr">
        <is>
          <t>Estantes pagando antes de abrir (meta)</t>
        </is>
      </c>
      <c r="B81" s="28">
        <f>B8</f>
        <v/>
      </c>
    </row>
    <row r="82" ht="15.75" customHeight="1" s="32">
      <c r="A82" s="27" t="inlineStr">
        <is>
          <t>Costos operativos de los primeros 12 meses (USD)</t>
        </is>
      </c>
      <c r="B82" s="18">
        <f>B37*12</f>
        <v/>
      </c>
    </row>
    <row r="83" ht="15.75" customHeight="1" s="32">
      <c r="A83" s="27" t="inlineStr">
        <is>
          <t>Inversión inicial / CAPEX (depósito + comisión + dispensador + equipamiento, sin duplicar el alquiler)</t>
        </is>
      </c>
      <c r="B83" s="18">
        <f>B77</f>
        <v/>
      </c>
    </row>
    <row r="84" ht="15.75" customHeight="1" s="32">
      <c r="A84" s="2" t="inlineStr">
        <is>
          <t>Necesidad total de caja para el año 1 (CAPEX + 12 meses de operación)</t>
        </is>
      </c>
      <c r="B84" s="17">
        <f>B82+B83</f>
        <v/>
      </c>
    </row>
    <row r="85" ht="15.75" customHeight="1" s="32"/>
    <row r="86" ht="15.75" customHeight="1" s="32">
      <c r="A86" s="2" t="inlineStr">
        <is>
          <t>Ingreso del año 1 (solo cuotas de estante, peor escenario)</t>
        </is>
      </c>
      <c r="B86" s="17">
        <f>B81*B11</f>
        <v/>
      </c>
    </row>
    <row r="87" ht="15.75" customHeight="1" s="32"/>
    <row r="88" ht="15.75" customHeight="1" s="32">
      <c r="A88" s="2" t="inlineStr">
        <is>
          <t>Superávit / Déficit del año 1 (USD)</t>
        </is>
      </c>
      <c r="B88" s="17">
        <f>B86-B84</f>
        <v/>
      </c>
    </row>
    <row r="89" ht="15.75" customHeight="1" s="32">
      <c r="A89" s="2" t="inlineStr">
        <is>
          <t>¿El año 1 se autofinancia solo con cuotas, en el peor escenario?</t>
        </is>
      </c>
      <c r="B89" s="2">
        <f>IF(B88&gt;=0,"Sí","No")</f>
        <v/>
      </c>
    </row>
    <row r="90" ht="15.75" customHeight="1" s="32">
      <c r="A90" s="2" t="inlineStr">
        <is>
          <t>Dinero disponible mensual para invertir en eventos en la galería</t>
        </is>
      </c>
      <c r="B90" s="17">
        <f>IF(B89="Sí",B88/12,0)</f>
        <v/>
      </c>
    </row>
    <row r="91" ht="15.75" customHeight="1" s="32">
      <c r="A91" s="27" t="inlineStr">
        <is>
          <t>Estantes pagando necesarios para autofinanciar el año 1 completo solo con cuotas</t>
        </is>
      </c>
      <c r="B91" s="9">
        <f>ROUNDUP(B84/B11,0)</f>
        <v/>
      </c>
    </row>
    <row r="92" ht="15.75" customHeight="1" s="32">
      <c r="A92" s="27" t="inlineStr">
        <is>
          <t>¿Esa cantidad cabe en los estantes disponibles para alquiler?</t>
        </is>
      </c>
      <c r="B92" s="27">
        <f>IF(B91&lt;=B6,"Sí","No — supera la capacidad de estantes en alquiler")</f>
        <v/>
      </c>
    </row>
    <row r="93" ht="15.75" customHeight="1" s="32"/>
    <row r="94" ht="15.75" customHeight="1" s="32">
      <c r="A94" s="3" t="inlineStr">
        <is>
          <t>SENSIBILIDAD: COSTOS CON INFLACIÓN LOCAL (año 2, si la cuota no se ajusta)</t>
        </is>
      </c>
      <c r="B94" s="5" t="n"/>
    </row>
    <row r="95" ht="15.75" customHeight="1" s="32">
      <c r="A95" s="27" t="inlineStr">
        <is>
          <t>Costos fijos mensuales, año 2, ajustados por inflación (USD)</t>
        </is>
      </c>
      <c r="B95" s="16">
        <f>B37*(1+B50)</f>
        <v/>
      </c>
    </row>
    <row r="96" ht="15.75" customHeight="1" s="32">
      <c r="A96" s="27" t="inlineStr">
        <is>
          <t>Superávit mensual año 2 a ocupación plena (148), con costos inflactados y cuota fija de hoy</t>
        </is>
      </c>
      <c r="B96" s="16">
        <f>B6*B9-B95</f>
        <v/>
      </c>
    </row>
    <row r="97" ht="15.75" customHeight="1" s="32">
      <c r="A97" s="27" t="inlineStr">
        <is>
          <t>en caja para eventos mensuales por superávit</t>
        </is>
      </c>
      <c r="B97" s="16">
        <f>B96/12</f>
        <v/>
      </c>
    </row>
    <row r="98" ht="15.75" customHeight="1" s="32">
      <c r="A98" s="21" t="inlineStr">
        <is>
          <t>Nota</t>
        </is>
      </c>
      <c r="B98" s="22" t="inlineStr">
        <is>
          <t>Esta fila compara el mismo mes con costos inflactados vs. la cuota fija de hoy, para dimensionar cuánto se achica el margen si no se revisa la cuota en la renovación anual.</t>
        </is>
      </c>
    </row>
    <row r="99" ht="15.75" customHeight="1" s="32"/>
    <row r="100" ht="15.75" customHeight="1" s="32"/>
    <row r="101" ht="15.75" customHeight="1" s="32"/>
    <row r="102" ht="15.75" customHeight="1" s="32"/>
    <row r="103" ht="15.75" customHeight="1" s="32"/>
    <row r="104" ht="15.75" customHeight="1" s="32"/>
    <row r="105" ht="15.75" customHeight="1" s="32"/>
    <row r="106" ht="15.75" customHeight="1" s="32"/>
    <row r="107" ht="15.75" customHeight="1" s="32"/>
    <row r="108" ht="15.75" customHeight="1" s="32"/>
    <row r="109" ht="15.75" customHeight="1" s="32"/>
    <row r="110" ht="15.75" customHeight="1" s="32"/>
    <row r="111" ht="15.75" customHeight="1" s="32"/>
    <row r="112" ht="15.75" customHeight="1" s="32"/>
    <row r="113" ht="15.75" customHeight="1" s="32"/>
    <row r="114" ht="15.75" customHeight="1" s="32"/>
    <row r="115" ht="15.75" customHeight="1" s="32"/>
    <row r="116" ht="15.75" customHeight="1" s="32"/>
    <row r="117" ht="15.75" customHeight="1" s="32"/>
    <row r="118" ht="15.75" customHeight="1" s="32"/>
    <row r="119" ht="15.75" customHeight="1" s="32"/>
    <row r="120" ht="15.75" customHeight="1" s="32"/>
    <row r="121" ht="15.75" customHeight="1" s="32"/>
    <row r="122" ht="15.75" customHeight="1" s="32"/>
    <row r="123" ht="15.75" customHeight="1" s="32"/>
    <row r="124" ht="15.75" customHeight="1" s="32"/>
    <row r="125" ht="15.75" customHeight="1" s="32"/>
    <row r="126" ht="15.75" customHeight="1" s="32"/>
    <row r="127" ht="15.75" customHeight="1" s="32"/>
    <row r="128" ht="15.75" customHeight="1" s="32"/>
    <row r="129" ht="15.75" customHeight="1" s="32"/>
    <row r="130" ht="15.75" customHeight="1" s="32"/>
    <row r="131" ht="15.75" customHeight="1" s="32"/>
    <row r="132" ht="15.75" customHeight="1" s="32"/>
    <row r="133" ht="15.75" customHeight="1" s="32"/>
    <row r="134" ht="15.75" customHeight="1" s="32"/>
    <row r="135" ht="15.75" customHeight="1" s="32"/>
    <row r="136" ht="15.75" customHeight="1" s="32"/>
    <row r="137" ht="15.75" customHeight="1" s="32"/>
    <row r="138" ht="15.75" customHeight="1" s="32"/>
    <row r="139" ht="15.75" customHeight="1" s="32"/>
    <row r="140" ht="15.75" customHeight="1" s="32"/>
    <row r="141" ht="15.75" customHeight="1" s="32"/>
    <row r="142" ht="15.75" customHeight="1" s="32"/>
    <row r="143" ht="15.75" customHeight="1" s="32"/>
    <row r="144" ht="15.75" customHeight="1" s="32"/>
    <row r="145" ht="15.75" customHeight="1" s="32"/>
    <row r="146" ht="15.75" customHeight="1" s="32"/>
    <row r="147" ht="15.75" customHeight="1" s="32"/>
    <row r="148" ht="15.75" customHeight="1" s="32"/>
    <row r="149" ht="15.75" customHeight="1" s="32"/>
    <row r="150" ht="15.75" customHeight="1" s="32"/>
    <row r="151" ht="15.75" customHeight="1" s="32"/>
    <row r="152" ht="15.75" customHeight="1" s="32"/>
    <row r="153" ht="15.75" customHeight="1" s="32"/>
    <row r="154" ht="15.75" customHeight="1" s="32"/>
    <row r="155" ht="15.75" customHeight="1" s="32"/>
    <row r="156" ht="15.75" customHeight="1" s="32"/>
    <row r="157" ht="15.75" customHeight="1" s="32"/>
    <row r="158" ht="15.75" customHeight="1" s="32"/>
    <row r="159" ht="15.75" customHeight="1" s="32"/>
    <row r="160" ht="15.75" customHeight="1" s="32"/>
    <row r="161" ht="15.75" customHeight="1" s="32"/>
    <row r="162" ht="15.75" customHeight="1" s="32"/>
    <row r="163" ht="15.75" customHeight="1" s="32"/>
    <row r="164" ht="15.75" customHeight="1" s="32"/>
    <row r="165" ht="15.75" customHeight="1" s="32"/>
    <row r="166" ht="15.75" customHeight="1" s="32"/>
    <row r="167" ht="15.75" customHeight="1" s="32"/>
    <row r="168" ht="15.75" customHeight="1" s="32"/>
    <row r="169" ht="15.75" customHeight="1" s="32"/>
    <row r="170" ht="15.75" customHeight="1" s="32"/>
    <row r="171" ht="15.75" customHeight="1" s="32"/>
    <row r="172" ht="15.75" customHeight="1" s="32"/>
    <row r="173" ht="15.75" customHeight="1" s="32"/>
    <row r="174" ht="15.75" customHeight="1" s="32"/>
    <row r="175" ht="15.75" customHeight="1" s="32"/>
    <row r="176" ht="15.75" customHeight="1" s="32"/>
    <row r="177" ht="15.75" customHeight="1" s="32"/>
    <row r="178" ht="15.75" customHeight="1" s="32"/>
    <row r="179" ht="15.75" customHeight="1" s="32"/>
    <row r="180" ht="15.75" customHeight="1" s="32"/>
    <row r="181" ht="15.75" customHeight="1" s="32"/>
    <row r="182" ht="15.75" customHeight="1" s="32"/>
    <row r="183" ht="15.75" customHeight="1" s="32"/>
    <row r="184" ht="15.75" customHeight="1" s="32"/>
    <row r="185" ht="15.75" customHeight="1" s="32"/>
    <row r="186" ht="15.75" customHeight="1" s="32"/>
    <row r="187" ht="15.75" customHeight="1" s="32"/>
    <row r="188" ht="15.75" customHeight="1" s="32"/>
    <row r="189" ht="15.75" customHeight="1" s="32"/>
    <row r="190" ht="15.75" customHeight="1" s="32"/>
    <row r="191" ht="15.75" customHeight="1" s="32"/>
    <row r="192" ht="15.75" customHeight="1" s="32"/>
    <row r="193" ht="15.75" customHeight="1" s="32"/>
    <row r="194" ht="15.75" customHeight="1" s="32"/>
    <row r="195" ht="15.75" customHeight="1" s="32"/>
    <row r="196" ht="15.75" customHeight="1" s="32"/>
    <row r="197" ht="15.75" customHeight="1" s="32"/>
    <row r="198" ht="15.75" customHeight="1" s="32"/>
    <row r="199" ht="15.75" customHeight="1" s="32"/>
    <row r="200" ht="15.75" customHeight="1" s="32"/>
    <row r="201" ht="15.75" customHeight="1" s="32"/>
    <row r="202" ht="15.75" customHeight="1" s="32"/>
    <row r="203" ht="15.75" customHeight="1" s="32"/>
    <row r="204" ht="15.75" customHeight="1" s="32"/>
    <row r="205" ht="15.75" customHeight="1" s="32"/>
    <row r="206" ht="15.75" customHeight="1" s="32"/>
    <row r="207" ht="15.75" customHeight="1" s="32"/>
    <row r="208" ht="15.75" customHeight="1" s="32"/>
    <row r="209" ht="15.75" customHeight="1" s="32"/>
    <row r="210" ht="15.75" customHeight="1" s="32"/>
    <row r="211" ht="15.75" customHeight="1" s="32"/>
    <row r="212" ht="15.75" customHeight="1" s="32"/>
    <row r="213" ht="15.75" customHeight="1" s="32"/>
    <row r="214" ht="15.75" customHeight="1" s="32"/>
    <row r="215" ht="15.75" customHeight="1" s="32"/>
    <row r="216" ht="15.75" customHeight="1" s="32"/>
    <row r="217" ht="15.75" customHeight="1" s="32"/>
    <row r="218" ht="15.75" customHeight="1" s="32"/>
    <row r="219" ht="15.75" customHeight="1" s="32"/>
    <row r="220" ht="15.75" customHeight="1" s="32"/>
    <row r="221" ht="15.75" customHeight="1" s="32"/>
    <row r="222" ht="15.75" customHeight="1" s="32"/>
    <row r="223" ht="15.75" customHeight="1" s="32"/>
    <row r="224" ht="15.75" customHeight="1" s="32"/>
    <row r="225" ht="15.75" customHeight="1" s="32"/>
    <row r="226" ht="15.75" customHeight="1" s="32"/>
    <row r="227" ht="15.75" customHeight="1" s="32"/>
    <row r="228" ht="15.75" customHeight="1" s="32"/>
    <row r="229" ht="15.75" customHeight="1" s="32"/>
    <row r="230" ht="15.75" customHeight="1" s="32"/>
    <row r="231" ht="15.75" customHeight="1" s="32"/>
    <row r="232" ht="15.75" customHeight="1" s="32"/>
    <row r="233" ht="15.75" customHeight="1" s="32"/>
    <row r="234" ht="15.75" customHeight="1" s="32"/>
    <row r="235" ht="15.75" customHeight="1" s="32"/>
    <row r="236" ht="15.75" customHeight="1" s="32"/>
    <row r="237" ht="15.75" customHeight="1" s="32"/>
    <row r="238" ht="15.75" customHeight="1" s="32"/>
    <row r="239" ht="15.75" customHeight="1" s="32"/>
    <row r="240" ht="15.75" customHeight="1" s="32"/>
    <row r="241" ht="15.75" customHeight="1" s="32"/>
    <row r="242" ht="15.75" customHeight="1" s="32"/>
    <row r="243" ht="15.75" customHeight="1" s="32"/>
    <row r="244" ht="15.75" customHeight="1" s="32"/>
    <row r="245" ht="15.75" customHeight="1" s="32"/>
    <row r="246" ht="15.75" customHeight="1" s="32"/>
    <row r="247" ht="15.75" customHeight="1" s="32"/>
    <row r="248" ht="15.75" customHeight="1" s="32"/>
    <row r="249" ht="15.75" customHeight="1" s="32"/>
    <row r="250" ht="15.75" customHeight="1" s="32"/>
    <row r="251" ht="15.75" customHeight="1" s="32"/>
    <row r="252" ht="15.75" customHeight="1" s="32"/>
    <row r="253" ht="15.75" customHeight="1" s="32"/>
    <row r="254" ht="15.75" customHeight="1" s="32"/>
    <row r="255" ht="15.75" customHeight="1" s="32"/>
    <row r="256" ht="15.75" customHeight="1" s="32"/>
    <row r="257" ht="15.75" customHeight="1" s="32"/>
    <row r="258" ht="15.75" customHeight="1" s="32"/>
    <row r="259" ht="15.75" customHeight="1" s="32"/>
    <row r="260" ht="15.75" customHeight="1" s="32"/>
    <row r="261" ht="15.75" customHeight="1" s="32"/>
    <row r="262" ht="15.75" customHeight="1" s="32"/>
    <row r="263" ht="15.75" customHeight="1" s="32"/>
    <row r="264" ht="15.75" customHeight="1" s="32"/>
    <row r="265" ht="15.75" customHeight="1" s="32"/>
    <row r="266" ht="15.75" customHeight="1" s="32"/>
    <row r="267" ht="15.75" customHeight="1" s="32"/>
    <row r="268" ht="15.75" customHeight="1" s="32"/>
    <row r="269" ht="15.75" customHeight="1" s="32"/>
    <row r="270" ht="15.75" customHeight="1" s="32"/>
    <row r="271" ht="15.75" customHeight="1" s="32"/>
    <row r="272" ht="15.75" customHeight="1" s="32"/>
    <row r="273" ht="15.75" customHeight="1" s="32"/>
    <row r="274" ht="15.75" customHeight="1" s="32"/>
    <row r="275" ht="15.75" customHeight="1" s="32"/>
    <row r="276" ht="15.75" customHeight="1" s="32"/>
    <row r="277" ht="15.75" customHeight="1" s="32"/>
    <row r="278" ht="15.75" customHeight="1" s="32"/>
    <row r="279" ht="15.75" customHeight="1" s="32"/>
    <row r="280" ht="15.75" customHeight="1" s="32"/>
    <row r="281" ht="15.75" customHeight="1" s="32"/>
    <row r="282" ht="15.75" customHeight="1" s="32"/>
    <row r="283" ht="15.75" customHeight="1" s="32"/>
    <row r="284" ht="15.75" customHeight="1" s="32"/>
    <row r="285" ht="15.75" customHeight="1" s="32"/>
    <row r="286" ht="15.75" customHeight="1" s="32"/>
    <row r="287" ht="15.75" customHeight="1" s="32"/>
    <row r="288" ht="15.75" customHeight="1" s="32"/>
    <row r="289" ht="15.75" customHeight="1" s="32"/>
    <row r="290" ht="15.75" customHeight="1" s="32"/>
    <row r="291" ht="15.75" customHeight="1" s="32"/>
    <row r="292" ht="15.75" customHeight="1" s="32"/>
    <row r="293" ht="15.75" customHeight="1" s="32"/>
    <row r="294" ht="15.75" customHeight="1" s="32"/>
    <row r="295" ht="15.75" customHeight="1" s="32"/>
    <row r="296" ht="15.75" customHeight="1" s="32"/>
    <row r="297" ht="15.75" customHeight="1" s="32"/>
    <row r="298" ht="15.75" customHeight="1" s="32"/>
    <row r="299" ht="15.75" customHeight="1" s="32"/>
    <row r="300" ht="15.75" customHeight="1" s="32"/>
    <row r="301" ht="15.75" customHeight="1" s="32"/>
    <row r="302" ht="15.75" customHeight="1" s="32"/>
    <row r="303" ht="15.75" customHeight="1" s="32"/>
    <row r="304" ht="15.75" customHeight="1" s="32"/>
    <row r="305" ht="15.75" customHeight="1" s="32"/>
    <row r="306" ht="15.75" customHeight="1" s="32"/>
    <row r="307" ht="15.75" customHeight="1" s="32"/>
    <row r="308" ht="15.75" customHeight="1" s="32"/>
    <row r="309" ht="15.75" customHeight="1" s="32"/>
    <row r="310" ht="15.75" customHeight="1" s="32"/>
    <row r="311" ht="15.75" customHeight="1" s="32"/>
    <row r="312" ht="15.75" customHeight="1" s="32"/>
    <row r="313" ht="15.75" customHeight="1" s="32"/>
    <row r="314" ht="15.75" customHeight="1" s="32"/>
    <row r="315" ht="15.75" customHeight="1" s="32"/>
    <row r="316" ht="15.75" customHeight="1" s="32"/>
    <row r="317" ht="15.75" customHeight="1" s="32"/>
    <row r="318" ht="15.75" customHeight="1" s="32"/>
    <row r="319" ht="15.75" customHeight="1" s="32"/>
    <row r="320" ht="15.75" customHeight="1" s="32"/>
    <row r="321" ht="15.75" customHeight="1" s="32"/>
    <row r="322" ht="15.75" customHeight="1" s="32"/>
    <row r="323" ht="15.75" customHeight="1" s="32"/>
    <row r="324" ht="15.75" customHeight="1" s="32"/>
    <row r="325" ht="15.75" customHeight="1" s="32"/>
    <row r="326" ht="15.75" customHeight="1" s="32"/>
    <row r="327" ht="15.75" customHeight="1" s="32"/>
    <row r="328" ht="15.75" customHeight="1" s="32"/>
    <row r="329" ht="15.75" customHeight="1" s="32"/>
    <row r="330" ht="15.75" customHeight="1" s="32"/>
    <row r="331" ht="15.75" customHeight="1" s="32"/>
    <row r="332" ht="15.75" customHeight="1" s="32"/>
    <row r="333" ht="15.75" customHeight="1" s="32"/>
    <row r="334" ht="15.75" customHeight="1" s="32"/>
    <row r="335" ht="15.75" customHeight="1" s="32"/>
    <row r="336" ht="15.75" customHeight="1" s="32"/>
    <row r="337" ht="15.75" customHeight="1" s="32"/>
    <row r="338" ht="15.75" customHeight="1" s="32"/>
    <row r="339" ht="15.75" customHeight="1" s="32"/>
    <row r="340" ht="15.75" customHeight="1" s="32"/>
    <row r="341" ht="15.75" customHeight="1" s="32"/>
    <row r="342" ht="15.75" customHeight="1" s="32"/>
    <row r="343" ht="15.75" customHeight="1" s="32"/>
    <row r="344" ht="15.75" customHeight="1" s="32"/>
    <row r="345" ht="15.75" customHeight="1" s="32"/>
    <row r="346" ht="15.75" customHeight="1" s="32"/>
    <row r="347" ht="15.75" customHeight="1" s="32"/>
    <row r="348" ht="15.75" customHeight="1" s="32"/>
    <row r="349" ht="15.75" customHeight="1" s="32"/>
    <row r="350" ht="15.75" customHeight="1" s="32"/>
    <row r="351" ht="15.75" customHeight="1" s="32"/>
    <row r="352" ht="15.75" customHeight="1" s="32"/>
    <row r="353" ht="15.75" customHeight="1" s="32"/>
    <row r="354" ht="15.75" customHeight="1" s="32"/>
    <row r="355" ht="15.75" customHeight="1" s="32"/>
    <row r="356" ht="15.75" customHeight="1" s="32"/>
    <row r="357" ht="15.75" customHeight="1" s="32"/>
    <row r="358" ht="15.75" customHeight="1" s="32"/>
    <row r="359" ht="15.75" customHeight="1" s="32"/>
    <row r="360" ht="15.75" customHeight="1" s="32"/>
    <row r="361" ht="15.75" customHeight="1" s="32"/>
    <row r="362" ht="15.75" customHeight="1" s="32"/>
    <row r="363" ht="15.75" customHeight="1" s="32"/>
    <row r="364" ht="15.75" customHeight="1" s="32"/>
    <row r="365" ht="15.75" customHeight="1" s="32"/>
    <row r="366" ht="15.75" customHeight="1" s="32"/>
    <row r="367" ht="15.75" customHeight="1" s="32"/>
    <row r="368" ht="15.75" customHeight="1" s="32"/>
    <row r="369" ht="15.75" customHeight="1" s="32"/>
    <row r="370" ht="15.75" customHeight="1" s="32"/>
    <row r="371" ht="15.75" customHeight="1" s="32"/>
    <row r="372" ht="15.75" customHeight="1" s="32"/>
    <row r="373" ht="15.75" customHeight="1" s="32"/>
    <row r="374" ht="15.75" customHeight="1" s="32"/>
    <row r="375" ht="15.75" customHeight="1" s="32"/>
    <row r="376" ht="15.75" customHeight="1" s="32"/>
    <row r="377" ht="15.75" customHeight="1" s="32"/>
    <row r="378" ht="15.75" customHeight="1" s="32"/>
    <row r="379" ht="15.75" customHeight="1" s="32"/>
    <row r="380" ht="15.75" customHeight="1" s="32"/>
    <row r="381" ht="15.75" customHeight="1" s="32"/>
    <row r="382" ht="15.75" customHeight="1" s="32"/>
    <row r="383" ht="15.75" customHeight="1" s="32"/>
    <row r="384" ht="15.75" customHeight="1" s="32"/>
    <row r="385" ht="15.75" customHeight="1" s="32"/>
    <row r="386" ht="15.75" customHeight="1" s="32"/>
    <row r="387" ht="15.75" customHeight="1" s="32"/>
    <row r="388" ht="15.75" customHeight="1" s="32"/>
    <row r="389" ht="15.75" customHeight="1" s="32"/>
    <row r="390" ht="15.75" customHeight="1" s="32"/>
    <row r="391" ht="15.75" customHeight="1" s="32"/>
    <row r="392" ht="15.75" customHeight="1" s="32"/>
    <row r="393" ht="15.75" customHeight="1" s="32"/>
    <row r="394" ht="15.75" customHeight="1" s="32"/>
    <row r="395" ht="15.75" customHeight="1" s="32"/>
    <row r="396" ht="15.75" customHeight="1" s="32"/>
    <row r="397" ht="15.75" customHeight="1" s="32"/>
    <row r="398" ht="15.75" customHeight="1" s="32"/>
    <row r="399" ht="15.75" customHeight="1" s="32"/>
    <row r="400" ht="15.75" customHeight="1" s="32"/>
    <row r="401" ht="15.75" customHeight="1" s="32"/>
    <row r="402" ht="15.75" customHeight="1" s="32"/>
    <row r="403" ht="15.75" customHeight="1" s="32"/>
    <row r="404" ht="15.75" customHeight="1" s="32"/>
    <row r="405" ht="15.75" customHeight="1" s="32"/>
    <row r="406" ht="15.75" customHeight="1" s="32"/>
    <row r="407" ht="15.75" customHeight="1" s="32"/>
    <row r="408" ht="15.75" customHeight="1" s="32"/>
    <row r="409" ht="15.75" customHeight="1" s="32"/>
    <row r="410" ht="15.75" customHeight="1" s="32"/>
    <row r="411" ht="15.75" customHeight="1" s="32"/>
    <row r="412" ht="15.75" customHeight="1" s="32"/>
    <row r="413" ht="15.75" customHeight="1" s="32"/>
    <row r="414" ht="15.75" customHeight="1" s="32"/>
    <row r="415" ht="15.75" customHeight="1" s="32"/>
    <row r="416" ht="15.75" customHeight="1" s="32"/>
    <row r="417" ht="15.75" customHeight="1" s="32"/>
    <row r="418" ht="15.75" customHeight="1" s="32"/>
    <row r="419" ht="15.75" customHeight="1" s="32"/>
    <row r="420" ht="15.75" customHeight="1" s="32"/>
    <row r="421" ht="15.75" customHeight="1" s="32"/>
    <row r="422" ht="15.75" customHeight="1" s="32"/>
    <row r="423" ht="15.75" customHeight="1" s="32"/>
    <row r="424" ht="15.75" customHeight="1" s="32"/>
    <row r="425" ht="15.75" customHeight="1" s="32"/>
    <row r="426" ht="15.75" customHeight="1" s="32"/>
    <row r="427" ht="15.75" customHeight="1" s="32"/>
    <row r="428" ht="15.75" customHeight="1" s="32"/>
    <row r="429" ht="15.75" customHeight="1" s="32"/>
    <row r="430" ht="15.75" customHeight="1" s="32"/>
    <row r="431" ht="15.75" customHeight="1" s="32"/>
    <row r="432" ht="15.75" customHeight="1" s="32"/>
    <row r="433" ht="15.75" customHeight="1" s="32"/>
    <row r="434" ht="15.75" customHeight="1" s="32"/>
    <row r="435" ht="15.75" customHeight="1" s="32"/>
    <row r="436" ht="15.75" customHeight="1" s="32"/>
    <row r="437" ht="15.75" customHeight="1" s="32"/>
    <row r="438" ht="15.75" customHeight="1" s="32"/>
    <row r="439" ht="15.75" customHeight="1" s="32"/>
    <row r="440" ht="15.75" customHeight="1" s="32"/>
    <row r="441" ht="15.75" customHeight="1" s="32"/>
    <row r="442" ht="15.75" customHeight="1" s="32"/>
    <row r="443" ht="15.75" customHeight="1" s="32"/>
    <row r="444" ht="15.75" customHeight="1" s="32"/>
    <row r="445" ht="15.75" customHeight="1" s="32"/>
    <row r="446" ht="15.75" customHeight="1" s="32"/>
    <row r="447" ht="15.75" customHeight="1" s="32"/>
    <row r="448" ht="15.75" customHeight="1" s="32"/>
    <row r="449" ht="15.75" customHeight="1" s="32"/>
    <row r="450" ht="15.75" customHeight="1" s="32"/>
    <row r="451" ht="15.75" customHeight="1" s="32"/>
    <row r="452" ht="15.75" customHeight="1" s="32"/>
    <row r="453" ht="15.75" customHeight="1" s="32"/>
    <row r="454" ht="15.75" customHeight="1" s="32"/>
    <row r="455" ht="15.75" customHeight="1" s="32"/>
    <row r="456" ht="15.75" customHeight="1" s="32"/>
    <row r="457" ht="15.75" customHeight="1" s="32"/>
    <row r="458" ht="15.75" customHeight="1" s="32"/>
    <row r="459" ht="15.75" customHeight="1" s="32"/>
    <row r="460" ht="15.75" customHeight="1" s="32"/>
    <row r="461" ht="15.75" customHeight="1" s="32"/>
    <row r="462" ht="15.75" customHeight="1" s="32"/>
    <row r="463" ht="15.75" customHeight="1" s="32"/>
    <row r="464" ht="15.75" customHeight="1" s="32"/>
    <row r="465" ht="15.75" customHeight="1" s="32"/>
    <row r="466" ht="15.75" customHeight="1" s="32"/>
    <row r="467" ht="15.75" customHeight="1" s="32"/>
    <row r="468" ht="15.75" customHeight="1" s="32"/>
    <row r="469" ht="15.75" customHeight="1" s="32"/>
    <row r="470" ht="15.75" customHeight="1" s="32"/>
    <row r="471" ht="15.75" customHeight="1" s="32"/>
    <row r="472" ht="15.75" customHeight="1" s="32"/>
    <row r="473" ht="15.75" customHeight="1" s="32"/>
    <row r="474" ht="15.75" customHeight="1" s="32"/>
    <row r="475" ht="15.75" customHeight="1" s="32"/>
    <row r="476" ht="15.75" customHeight="1" s="32"/>
    <row r="477" ht="15.75" customHeight="1" s="32"/>
    <row r="478" ht="15.75" customHeight="1" s="32"/>
    <row r="479" ht="15.75" customHeight="1" s="32"/>
    <row r="480" ht="15.75" customHeight="1" s="32"/>
    <row r="481" ht="15.75" customHeight="1" s="32"/>
    <row r="482" ht="15.75" customHeight="1" s="32"/>
    <row r="483" ht="15.75" customHeight="1" s="32"/>
    <row r="484" ht="15.75" customHeight="1" s="32"/>
    <row r="485" ht="15.75" customHeight="1" s="32"/>
    <row r="486" ht="15.75" customHeight="1" s="32"/>
    <row r="487" ht="15.75" customHeight="1" s="32"/>
    <row r="488" ht="15.75" customHeight="1" s="32"/>
    <row r="489" ht="15.75" customHeight="1" s="32"/>
    <row r="490" ht="15.75" customHeight="1" s="32"/>
    <row r="491" ht="15.75" customHeight="1" s="32"/>
    <row r="492" ht="15.75" customHeight="1" s="32"/>
    <row r="493" ht="15.75" customHeight="1" s="32"/>
    <row r="494" ht="15.75" customHeight="1" s="32"/>
    <row r="495" ht="15.75" customHeight="1" s="32"/>
    <row r="496" ht="15.75" customHeight="1" s="32"/>
    <row r="497" ht="15.75" customHeight="1" s="32"/>
    <row r="498" ht="15.75" customHeight="1" s="32"/>
    <row r="499" ht="15.75" customHeight="1" s="32"/>
    <row r="500" ht="15.75" customHeight="1" s="32"/>
    <row r="501" ht="15.75" customHeight="1" s="32"/>
    <row r="502" ht="15.75" customHeight="1" s="32"/>
    <row r="503" ht="15.75" customHeight="1" s="32"/>
    <row r="504" ht="15.75" customHeight="1" s="32"/>
    <row r="505" ht="15.75" customHeight="1" s="32"/>
    <row r="506" ht="15.75" customHeight="1" s="32"/>
    <row r="507" ht="15.75" customHeight="1" s="32"/>
    <row r="508" ht="15.75" customHeight="1" s="32"/>
    <row r="509" ht="15.75" customHeight="1" s="32"/>
    <row r="510" ht="15.75" customHeight="1" s="32"/>
    <row r="511" ht="15.75" customHeight="1" s="32"/>
    <row r="512" ht="15.75" customHeight="1" s="32"/>
    <row r="513" ht="15.75" customHeight="1" s="32"/>
    <row r="514" ht="15.75" customHeight="1" s="32"/>
    <row r="515" ht="15.75" customHeight="1" s="32"/>
    <row r="516" ht="15.75" customHeight="1" s="32"/>
    <row r="517" ht="15.75" customHeight="1" s="32"/>
    <row r="518" ht="15.75" customHeight="1" s="32"/>
    <row r="519" ht="15.75" customHeight="1" s="32"/>
    <row r="520" ht="15.75" customHeight="1" s="32"/>
    <row r="521" ht="15.75" customHeight="1" s="32"/>
    <row r="522" ht="15.75" customHeight="1" s="32"/>
    <row r="523" ht="15.75" customHeight="1" s="32"/>
    <row r="524" ht="15.75" customHeight="1" s="32"/>
    <row r="525" ht="15.75" customHeight="1" s="32"/>
    <row r="526" ht="15.75" customHeight="1" s="32"/>
    <row r="527" ht="15.75" customHeight="1" s="32"/>
    <row r="528" ht="15.75" customHeight="1" s="32"/>
    <row r="529" ht="15.75" customHeight="1" s="32"/>
    <row r="530" ht="15.75" customHeight="1" s="32"/>
    <row r="531" ht="15.75" customHeight="1" s="32"/>
    <row r="532" ht="15.75" customHeight="1" s="32"/>
    <row r="533" ht="15.75" customHeight="1" s="32"/>
    <row r="534" ht="15.75" customHeight="1" s="32"/>
    <row r="535" ht="15.75" customHeight="1" s="32"/>
    <row r="536" ht="15.75" customHeight="1" s="32"/>
    <row r="537" ht="15.75" customHeight="1" s="32"/>
    <row r="538" ht="15.75" customHeight="1" s="32"/>
    <row r="539" ht="15.75" customHeight="1" s="32"/>
    <row r="540" ht="15.75" customHeight="1" s="32"/>
    <row r="541" ht="15.75" customHeight="1" s="32"/>
    <row r="542" ht="15.75" customHeight="1" s="32"/>
    <row r="543" ht="15.75" customHeight="1" s="32"/>
    <row r="544" ht="15.75" customHeight="1" s="32"/>
    <row r="545" ht="15.75" customHeight="1" s="32"/>
    <row r="546" ht="15.75" customHeight="1" s="32"/>
    <row r="547" ht="15.75" customHeight="1" s="32"/>
    <row r="548" ht="15.75" customHeight="1" s="32"/>
    <row r="549" ht="15.75" customHeight="1" s="32"/>
    <row r="550" ht="15.75" customHeight="1" s="32"/>
    <row r="551" ht="15.75" customHeight="1" s="32"/>
    <row r="552" ht="15.75" customHeight="1" s="32"/>
    <row r="553" ht="15.75" customHeight="1" s="32"/>
    <row r="554" ht="15.75" customHeight="1" s="32"/>
    <row r="555" ht="15.75" customHeight="1" s="32"/>
    <row r="556" ht="15.75" customHeight="1" s="32"/>
    <row r="557" ht="15.75" customHeight="1" s="32"/>
    <row r="558" ht="15.75" customHeight="1" s="32"/>
    <row r="559" ht="15.75" customHeight="1" s="32"/>
    <row r="560" ht="15.75" customHeight="1" s="32"/>
    <row r="561" ht="15.75" customHeight="1" s="32"/>
    <row r="562" ht="15.75" customHeight="1" s="32"/>
    <row r="563" ht="15.75" customHeight="1" s="32"/>
    <row r="564" ht="15.75" customHeight="1" s="32"/>
    <row r="565" ht="15.75" customHeight="1" s="32"/>
    <row r="566" ht="15.75" customHeight="1" s="32"/>
    <row r="567" ht="15.75" customHeight="1" s="32"/>
    <row r="568" ht="15.75" customHeight="1" s="32"/>
    <row r="569" ht="15.75" customHeight="1" s="32"/>
    <row r="570" ht="15.75" customHeight="1" s="32"/>
    <row r="571" ht="15.75" customHeight="1" s="32"/>
    <row r="572" ht="15.75" customHeight="1" s="32"/>
    <row r="573" ht="15.75" customHeight="1" s="32"/>
    <row r="574" ht="15.75" customHeight="1" s="32"/>
    <row r="575" ht="15.75" customHeight="1" s="32"/>
    <row r="576" ht="15.75" customHeight="1" s="32"/>
    <row r="577" ht="15.75" customHeight="1" s="32"/>
    <row r="578" ht="15.75" customHeight="1" s="32"/>
    <row r="579" ht="15.75" customHeight="1" s="32"/>
    <row r="580" ht="15.75" customHeight="1" s="32"/>
    <row r="581" ht="15.75" customHeight="1" s="32"/>
    <row r="582" ht="15.75" customHeight="1" s="32"/>
    <row r="583" ht="15.75" customHeight="1" s="32"/>
    <row r="584" ht="15.75" customHeight="1" s="32"/>
    <row r="585" ht="15.75" customHeight="1" s="32"/>
    <row r="586" ht="15.75" customHeight="1" s="32"/>
    <row r="587" ht="15.75" customHeight="1" s="32"/>
    <row r="588" ht="15.75" customHeight="1" s="32"/>
    <row r="589" ht="15.75" customHeight="1" s="32"/>
    <row r="590" ht="15.75" customHeight="1" s="32"/>
    <row r="591" ht="15.75" customHeight="1" s="32"/>
    <row r="592" ht="15.75" customHeight="1" s="32"/>
    <row r="593" ht="15.75" customHeight="1" s="32"/>
    <row r="594" ht="15.75" customHeight="1" s="32"/>
    <row r="595" ht="15.75" customHeight="1" s="32"/>
    <row r="596" ht="15.75" customHeight="1" s="32"/>
    <row r="597" ht="15.75" customHeight="1" s="32"/>
    <row r="598" ht="15.75" customHeight="1" s="32"/>
    <row r="599" ht="15.75" customHeight="1" s="32"/>
    <row r="600" ht="15.75" customHeight="1" s="32"/>
    <row r="601" ht="15.75" customHeight="1" s="32"/>
    <row r="602" ht="15.75" customHeight="1" s="32"/>
    <row r="603" ht="15.75" customHeight="1" s="32"/>
    <row r="604" ht="15.75" customHeight="1" s="32"/>
    <row r="605" ht="15.75" customHeight="1" s="32"/>
    <row r="606" ht="15.75" customHeight="1" s="32"/>
    <row r="607" ht="15.75" customHeight="1" s="32"/>
    <row r="608" ht="15.75" customHeight="1" s="32"/>
    <row r="609" ht="15.75" customHeight="1" s="32"/>
    <row r="610" ht="15.75" customHeight="1" s="32"/>
    <row r="611" ht="15.75" customHeight="1" s="32"/>
    <row r="612" ht="15.75" customHeight="1" s="32"/>
    <row r="613" ht="15.75" customHeight="1" s="32"/>
    <row r="614" ht="15.75" customHeight="1" s="32"/>
    <row r="615" ht="15.75" customHeight="1" s="32"/>
    <row r="616" ht="15.75" customHeight="1" s="32"/>
    <row r="617" ht="15.75" customHeight="1" s="32"/>
    <row r="618" ht="15.75" customHeight="1" s="32"/>
    <row r="619" ht="15.75" customHeight="1" s="32"/>
    <row r="620" ht="15.75" customHeight="1" s="32"/>
    <row r="621" ht="15.75" customHeight="1" s="32"/>
    <row r="622" ht="15.75" customHeight="1" s="32"/>
    <row r="623" ht="15.75" customHeight="1" s="32"/>
    <row r="624" ht="15.75" customHeight="1" s="32"/>
    <row r="625" ht="15.75" customHeight="1" s="32"/>
    <row r="626" ht="15.75" customHeight="1" s="32"/>
    <row r="627" ht="15.75" customHeight="1" s="32"/>
    <row r="628" ht="15.75" customHeight="1" s="32"/>
    <row r="629" ht="15.75" customHeight="1" s="32"/>
    <row r="630" ht="15.75" customHeight="1" s="32"/>
    <row r="631" ht="15.75" customHeight="1" s="32"/>
    <row r="632" ht="15.75" customHeight="1" s="32"/>
    <row r="633" ht="15.75" customHeight="1" s="32"/>
    <row r="634" ht="15.75" customHeight="1" s="32"/>
    <row r="635" ht="15.75" customHeight="1" s="32"/>
    <row r="636" ht="15.75" customHeight="1" s="32"/>
    <row r="637" ht="15.75" customHeight="1" s="32"/>
    <row r="638" ht="15.75" customHeight="1" s="32"/>
    <row r="639" ht="15.75" customHeight="1" s="32"/>
    <row r="640" ht="15.75" customHeight="1" s="32"/>
    <row r="641" ht="15.75" customHeight="1" s="32"/>
    <row r="642" ht="15.75" customHeight="1" s="32"/>
    <row r="643" ht="15.75" customHeight="1" s="32"/>
    <row r="644" ht="15.75" customHeight="1" s="32"/>
    <row r="645" ht="15.75" customHeight="1" s="32"/>
    <row r="646" ht="15.75" customHeight="1" s="32"/>
    <row r="647" ht="15.75" customHeight="1" s="32"/>
    <row r="648" ht="15.75" customHeight="1" s="32"/>
    <row r="649" ht="15.75" customHeight="1" s="32"/>
    <row r="650" ht="15.75" customHeight="1" s="32"/>
    <row r="651" ht="15.75" customHeight="1" s="32"/>
    <row r="652" ht="15.75" customHeight="1" s="32"/>
    <row r="653" ht="15.75" customHeight="1" s="32"/>
    <row r="654" ht="15.75" customHeight="1" s="32"/>
    <row r="655" ht="15.75" customHeight="1" s="32"/>
    <row r="656" ht="15.75" customHeight="1" s="32"/>
    <row r="657" ht="15.75" customHeight="1" s="32"/>
    <row r="658" ht="15.75" customHeight="1" s="32"/>
    <row r="659" ht="15.75" customHeight="1" s="32"/>
    <row r="660" ht="15.75" customHeight="1" s="32"/>
    <row r="661" ht="15.75" customHeight="1" s="32"/>
    <row r="662" ht="15.75" customHeight="1" s="32"/>
    <row r="663" ht="15.75" customHeight="1" s="32"/>
    <row r="664" ht="15.75" customHeight="1" s="32"/>
    <row r="665" ht="15.75" customHeight="1" s="32"/>
    <row r="666" ht="15.75" customHeight="1" s="32"/>
    <row r="667" ht="15.75" customHeight="1" s="32"/>
    <row r="668" ht="15.75" customHeight="1" s="32"/>
    <row r="669" ht="15.75" customHeight="1" s="32"/>
    <row r="670" ht="15.75" customHeight="1" s="32"/>
    <row r="671" ht="15.75" customHeight="1" s="32"/>
    <row r="672" ht="15.75" customHeight="1" s="32"/>
    <row r="673" ht="15.75" customHeight="1" s="32"/>
    <row r="674" ht="15.75" customHeight="1" s="32"/>
    <row r="675" ht="15.75" customHeight="1" s="32"/>
    <row r="676" ht="15.75" customHeight="1" s="32"/>
    <row r="677" ht="15.75" customHeight="1" s="32"/>
    <row r="678" ht="15.75" customHeight="1" s="32"/>
    <row r="679" ht="15.75" customHeight="1" s="32"/>
    <row r="680" ht="15.75" customHeight="1" s="32"/>
    <row r="681" ht="15.75" customHeight="1" s="32"/>
    <row r="682" ht="15.75" customHeight="1" s="32"/>
    <row r="683" ht="15.75" customHeight="1" s="32"/>
    <row r="684" ht="15.75" customHeight="1" s="32"/>
    <row r="685" ht="15.75" customHeight="1" s="32"/>
    <row r="686" ht="15.75" customHeight="1" s="32"/>
    <row r="687" ht="15.75" customHeight="1" s="32"/>
    <row r="688" ht="15.75" customHeight="1" s="32"/>
    <row r="689" ht="15.75" customHeight="1" s="32"/>
    <row r="690" ht="15.75" customHeight="1" s="32"/>
    <row r="691" ht="15.75" customHeight="1" s="32"/>
    <row r="692" ht="15.75" customHeight="1" s="32"/>
    <row r="693" ht="15.75" customHeight="1" s="32"/>
    <row r="694" ht="15.75" customHeight="1" s="32"/>
    <row r="695" ht="15.75" customHeight="1" s="32"/>
    <row r="696" ht="15.75" customHeight="1" s="32"/>
    <row r="697" ht="15.75" customHeight="1" s="32"/>
    <row r="698" ht="15.75" customHeight="1" s="32"/>
    <row r="699" ht="15.75" customHeight="1" s="32"/>
    <row r="700" ht="15.75" customHeight="1" s="32"/>
    <row r="701" ht="15.75" customHeight="1" s="32"/>
    <row r="702" ht="15.75" customHeight="1" s="32"/>
    <row r="703" ht="15.75" customHeight="1" s="32"/>
    <row r="704" ht="15.75" customHeight="1" s="32"/>
    <row r="705" ht="15.75" customHeight="1" s="32"/>
    <row r="706" ht="15.75" customHeight="1" s="32"/>
    <row r="707" ht="15.75" customHeight="1" s="32"/>
    <row r="708" ht="15.75" customHeight="1" s="32"/>
    <row r="709" ht="15.75" customHeight="1" s="32"/>
    <row r="710" ht="15.75" customHeight="1" s="32"/>
    <row r="711" ht="15.75" customHeight="1" s="32"/>
    <row r="712" ht="15.75" customHeight="1" s="32"/>
    <row r="713" ht="15.75" customHeight="1" s="32"/>
    <row r="714" ht="15.75" customHeight="1" s="32"/>
    <row r="715" ht="15.75" customHeight="1" s="32"/>
    <row r="716" ht="15.75" customHeight="1" s="32"/>
    <row r="717" ht="15.75" customHeight="1" s="32"/>
    <row r="718" ht="15.75" customHeight="1" s="32"/>
    <row r="719" ht="15.75" customHeight="1" s="32"/>
    <row r="720" ht="15.75" customHeight="1" s="32"/>
    <row r="721" ht="15.75" customHeight="1" s="32"/>
    <row r="722" ht="15.75" customHeight="1" s="32"/>
    <row r="723" ht="15.75" customHeight="1" s="32"/>
    <row r="724" ht="15.75" customHeight="1" s="32"/>
    <row r="725" ht="15.75" customHeight="1" s="32"/>
    <row r="726" ht="15.75" customHeight="1" s="32"/>
    <row r="727" ht="15.75" customHeight="1" s="32"/>
    <row r="728" ht="15.75" customHeight="1" s="32"/>
    <row r="729" ht="15.75" customHeight="1" s="32"/>
    <row r="730" ht="15.75" customHeight="1" s="32"/>
    <row r="731" ht="15.75" customHeight="1" s="32"/>
    <row r="732" ht="15.75" customHeight="1" s="32"/>
    <row r="733" ht="15.75" customHeight="1" s="32"/>
    <row r="734" ht="15.75" customHeight="1" s="32"/>
    <row r="735" ht="15.75" customHeight="1" s="32"/>
    <row r="736" ht="15.75" customHeight="1" s="32"/>
    <row r="737" ht="15.75" customHeight="1" s="32"/>
    <row r="738" ht="15.75" customHeight="1" s="32"/>
    <row r="739" ht="15.75" customHeight="1" s="32"/>
    <row r="740" ht="15.75" customHeight="1" s="32"/>
    <row r="741" ht="15.75" customHeight="1" s="32"/>
    <row r="742" ht="15.75" customHeight="1" s="32"/>
    <row r="743" ht="15.75" customHeight="1" s="32"/>
    <row r="744" ht="15.75" customHeight="1" s="32"/>
    <row r="745" ht="15.75" customHeight="1" s="32"/>
    <row r="746" ht="15.75" customHeight="1" s="32"/>
    <row r="747" ht="15.75" customHeight="1" s="32"/>
    <row r="748" ht="15.75" customHeight="1" s="32"/>
    <row r="749" ht="15.75" customHeight="1" s="32"/>
    <row r="750" ht="15.75" customHeight="1" s="32"/>
    <row r="751" ht="15.75" customHeight="1" s="32"/>
    <row r="752" ht="15.75" customHeight="1" s="32"/>
    <row r="753" ht="15.75" customHeight="1" s="32"/>
    <row r="754" ht="15.75" customHeight="1" s="32"/>
    <row r="755" ht="15.75" customHeight="1" s="32"/>
    <row r="756" ht="15.75" customHeight="1" s="32"/>
    <row r="757" ht="15.75" customHeight="1" s="32"/>
    <row r="758" ht="15.75" customHeight="1" s="32"/>
    <row r="759" ht="15.75" customHeight="1" s="32"/>
    <row r="760" ht="15.75" customHeight="1" s="32"/>
    <row r="761" ht="15.75" customHeight="1" s="32"/>
    <row r="762" ht="15.75" customHeight="1" s="32"/>
    <row r="763" ht="15.75" customHeight="1" s="32"/>
    <row r="764" ht="15.75" customHeight="1" s="32"/>
    <row r="765" ht="15.75" customHeight="1" s="32"/>
    <row r="766" ht="15.75" customHeight="1" s="32"/>
    <row r="767" ht="15.75" customHeight="1" s="32"/>
    <row r="768" ht="15.75" customHeight="1" s="32"/>
    <row r="769" ht="15.75" customHeight="1" s="32"/>
    <row r="770" ht="15.75" customHeight="1" s="32"/>
    <row r="771" ht="15.75" customHeight="1" s="32"/>
    <row r="772" ht="15.75" customHeight="1" s="32"/>
    <row r="773" ht="15.75" customHeight="1" s="32"/>
    <row r="774" ht="15.75" customHeight="1" s="32"/>
    <row r="775" ht="15.75" customHeight="1" s="32"/>
    <row r="776" ht="15.75" customHeight="1" s="32"/>
    <row r="777" ht="15.75" customHeight="1" s="32"/>
    <row r="778" ht="15.75" customHeight="1" s="32"/>
    <row r="779" ht="15.75" customHeight="1" s="32"/>
    <row r="780" ht="15.75" customHeight="1" s="32"/>
    <row r="781" ht="15.75" customHeight="1" s="32"/>
    <row r="782" ht="15.75" customHeight="1" s="32"/>
    <row r="783" ht="15.75" customHeight="1" s="32"/>
    <row r="784" ht="15.75" customHeight="1" s="32"/>
    <row r="785" ht="15.75" customHeight="1" s="32"/>
    <row r="786" ht="15.75" customHeight="1" s="32"/>
    <row r="787" ht="15.75" customHeight="1" s="32"/>
    <row r="788" ht="15.75" customHeight="1" s="32"/>
    <row r="789" ht="15.75" customHeight="1" s="32"/>
    <row r="790" ht="15.75" customHeight="1" s="32"/>
    <row r="791" ht="15.75" customHeight="1" s="32"/>
    <row r="792" ht="15.75" customHeight="1" s="32"/>
    <row r="793" ht="15.75" customHeight="1" s="32"/>
    <row r="794" ht="15.75" customHeight="1" s="32"/>
    <row r="795" ht="15.75" customHeight="1" s="32"/>
    <row r="796" ht="15.75" customHeight="1" s="32"/>
    <row r="797" ht="15.75" customHeight="1" s="32"/>
    <row r="798" ht="15.75" customHeight="1" s="32"/>
    <row r="799" ht="15.75" customHeight="1" s="32"/>
    <row r="800" ht="15.75" customHeight="1" s="32"/>
    <row r="801" ht="15.75" customHeight="1" s="32"/>
    <row r="802" ht="15.75" customHeight="1" s="32"/>
    <row r="803" ht="15.75" customHeight="1" s="32"/>
    <row r="804" ht="15.75" customHeight="1" s="32"/>
    <row r="805" ht="15.75" customHeight="1" s="32"/>
    <row r="806" ht="15.75" customHeight="1" s="32"/>
    <row r="807" ht="15.75" customHeight="1" s="32"/>
    <row r="808" ht="15.75" customHeight="1" s="32"/>
    <row r="809" ht="15.75" customHeight="1" s="32"/>
    <row r="810" ht="15.75" customHeight="1" s="32"/>
    <row r="811" ht="15.75" customHeight="1" s="32"/>
    <row r="812" ht="15.75" customHeight="1" s="32"/>
    <row r="813" ht="15.75" customHeight="1" s="32"/>
    <row r="814" ht="15.75" customHeight="1" s="32"/>
    <row r="815" ht="15.75" customHeight="1" s="32"/>
    <row r="816" ht="15.75" customHeight="1" s="32"/>
    <row r="817" ht="15.75" customHeight="1" s="32"/>
    <row r="818" ht="15.75" customHeight="1" s="32"/>
    <row r="819" ht="15.75" customHeight="1" s="32"/>
    <row r="820" ht="15.75" customHeight="1" s="32"/>
    <row r="821" ht="15.75" customHeight="1" s="32"/>
    <row r="822" ht="15.75" customHeight="1" s="32"/>
    <row r="823" ht="15.75" customHeight="1" s="32"/>
    <row r="824" ht="15.75" customHeight="1" s="32"/>
    <row r="825" ht="15.75" customHeight="1" s="32"/>
    <row r="826" ht="15.75" customHeight="1" s="32"/>
    <row r="827" ht="15.75" customHeight="1" s="32"/>
    <row r="828" ht="15.75" customHeight="1" s="32"/>
    <row r="829" ht="15.75" customHeight="1" s="32"/>
    <row r="830" ht="15.75" customHeight="1" s="32"/>
    <row r="831" ht="15.75" customHeight="1" s="32"/>
    <row r="832" ht="15.75" customHeight="1" s="32"/>
    <row r="833" ht="15.75" customHeight="1" s="32"/>
    <row r="834" ht="15.75" customHeight="1" s="32"/>
    <row r="835" ht="15.75" customHeight="1" s="32"/>
    <row r="836" ht="15.75" customHeight="1" s="32"/>
    <row r="837" ht="15.75" customHeight="1" s="32"/>
    <row r="838" ht="15.75" customHeight="1" s="32"/>
    <row r="839" ht="15.75" customHeight="1" s="32"/>
    <row r="840" ht="15.75" customHeight="1" s="32"/>
    <row r="841" ht="15.75" customHeight="1" s="32"/>
    <row r="842" ht="15.75" customHeight="1" s="32"/>
    <row r="843" ht="15.75" customHeight="1" s="32"/>
    <row r="844" ht="15.75" customHeight="1" s="32"/>
    <row r="845" ht="15.75" customHeight="1" s="32"/>
    <row r="846" ht="15.75" customHeight="1" s="32"/>
    <row r="847" ht="15.75" customHeight="1" s="32"/>
    <row r="848" ht="15.75" customHeight="1" s="32"/>
    <row r="849" ht="15.75" customHeight="1" s="32"/>
    <row r="850" ht="15.75" customHeight="1" s="32"/>
    <row r="851" ht="15.75" customHeight="1" s="32"/>
    <row r="852" ht="15.75" customHeight="1" s="32"/>
    <row r="853" ht="15.75" customHeight="1" s="32"/>
    <row r="854" ht="15.75" customHeight="1" s="32"/>
    <row r="855" ht="15.75" customHeight="1" s="32"/>
    <row r="856" ht="15.75" customHeight="1" s="32"/>
    <row r="857" ht="15.75" customHeight="1" s="32"/>
    <row r="858" ht="15.75" customHeight="1" s="32"/>
    <row r="859" ht="15.75" customHeight="1" s="32"/>
    <row r="860" ht="15.75" customHeight="1" s="32"/>
    <row r="861" ht="15.75" customHeight="1" s="32"/>
    <row r="862" ht="15.75" customHeight="1" s="32"/>
    <row r="863" ht="15.75" customHeight="1" s="32"/>
    <row r="864" ht="15.75" customHeight="1" s="32"/>
    <row r="865" ht="15.75" customHeight="1" s="32"/>
    <row r="866" ht="15.75" customHeight="1" s="32"/>
    <row r="867" ht="15.75" customHeight="1" s="32"/>
    <row r="868" ht="15.75" customHeight="1" s="32"/>
    <row r="869" ht="15.75" customHeight="1" s="32"/>
    <row r="870" ht="15.75" customHeight="1" s="32"/>
    <row r="871" ht="15.75" customHeight="1" s="32"/>
    <row r="872" ht="15.75" customHeight="1" s="32"/>
    <row r="873" ht="15.75" customHeight="1" s="32"/>
    <row r="874" ht="15.75" customHeight="1" s="32"/>
    <row r="875" ht="15.75" customHeight="1" s="32"/>
    <row r="876" ht="15.75" customHeight="1" s="32"/>
    <row r="877" ht="15.75" customHeight="1" s="32"/>
    <row r="878" ht="15.75" customHeight="1" s="32"/>
    <row r="879" ht="15.75" customHeight="1" s="32"/>
    <row r="880" ht="15.75" customHeight="1" s="32"/>
    <row r="881" ht="15.75" customHeight="1" s="32"/>
    <row r="882" ht="15.75" customHeight="1" s="32"/>
    <row r="883" ht="15.75" customHeight="1" s="32"/>
    <row r="884" ht="15.75" customHeight="1" s="32"/>
    <row r="885" ht="15.75" customHeight="1" s="32"/>
    <row r="886" ht="15.75" customHeight="1" s="32"/>
    <row r="887" ht="15.75" customHeight="1" s="32"/>
    <row r="888" ht="15.75" customHeight="1" s="32"/>
    <row r="889" ht="15.75" customHeight="1" s="32"/>
    <row r="890" ht="15.75" customHeight="1" s="32"/>
    <row r="891" ht="15.75" customHeight="1" s="32"/>
    <row r="892" ht="15.75" customHeight="1" s="32"/>
    <row r="893" ht="15.75" customHeight="1" s="32"/>
    <row r="894" ht="15.75" customHeight="1" s="32"/>
    <row r="895" ht="15.75" customHeight="1" s="32"/>
    <row r="896" ht="15.75" customHeight="1" s="32"/>
    <row r="897" ht="15.75" customHeight="1" s="32"/>
    <row r="898" ht="15.75" customHeight="1" s="32"/>
    <row r="899" ht="15.75" customHeight="1" s="32"/>
    <row r="900" ht="15.75" customHeight="1" s="32"/>
    <row r="901" ht="15.75" customHeight="1" s="32"/>
    <row r="902" ht="15.75" customHeight="1" s="32"/>
    <row r="903" ht="15.75" customHeight="1" s="32"/>
    <row r="904" ht="15.75" customHeight="1" s="32"/>
    <row r="905" ht="15.75" customHeight="1" s="32"/>
    <row r="906" ht="15.75" customHeight="1" s="32"/>
    <row r="907" ht="15.75" customHeight="1" s="32"/>
    <row r="908" ht="15.75" customHeight="1" s="32"/>
    <row r="909" ht="15.75" customHeight="1" s="32"/>
    <row r="910" ht="15.75" customHeight="1" s="32"/>
    <row r="911" ht="15.75" customHeight="1" s="32"/>
    <row r="912" ht="15.75" customHeight="1" s="32"/>
    <row r="913" ht="15.75" customHeight="1" s="32"/>
    <row r="914" ht="15.75" customHeight="1" s="32"/>
    <row r="915" ht="15.75" customHeight="1" s="32"/>
    <row r="916" ht="15.75" customHeight="1" s="32"/>
    <row r="917" ht="15.75" customHeight="1" s="32"/>
    <row r="918" ht="15.75" customHeight="1" s="32"/>
    <row r="919" ht="15.75" customHeight="1" s="32"/>
    <row r="920" ht="15.75" customHeight="1" s="32"/>
    <row r="921" ht="15.75" customHeight="1" s="32"/>
    <row r="922" ht="15.75" customHeight="1" s="32"/>
    <row r="923" ht="15.75" customHeight="1" s="32"/>
    <row r="924" ht="15.75" customHeight="1" s="32"/>
    <row r="925" ht="15.75" customHeight="1" s="32"/>
    <row r="926" ht="15.75" customHeight="1" s="32"/>
    <row r="927" ht="15.75" customHeight="1" s="32"/>
    <row r="928" ht="15.75" customHeight="1" s="32"/>
    <row r="929" ht="15.75" customHeight="1" s="32"/>
    <row r="930" ht="15.75" customHeight="1" s="32"/>
    <row r="931" ht="15.75" customHeight="1" s="32"/>
    <row r="932" ht="15.75" customHeight="1" s="32"/>
    <row r="933" ht="15.75" customHeight="1" s="32"/>
    <row r="934" ht="15.75" customHeight="1" s="32"/>
    <row r="935" ht="15.75" customHeight="1" s="32"/>
    <row r="936" ht="15.75" customHeight="1" s="32"/>
    <row r="937" ht="15.75" customHeight="1" s="32"/>
    <row r="938" ht="15.75" customHeight="1" s="32"/>
    <row r="939" ht="15.75" customHeight="1" s="32"/>
    <row r="940" ht="15.75" customHeight="1" s="32"/>
    <row r="941" ht="15.75" customHeight="1" s="32"/>
    <row r="942" ht="15.75" customHeight="1" s="32"/>
    <row r="943" ht="15.75" customHeight="1" s="32"/>
    <row r="944" ht="15.75" customHeight="1" s="32"/>
    <row r="945" ht="15.75" customHeight="1" s="32"/>
    <row r="946" ht="15.75" customHeight="1" s="32"/>
    <row r="947" ht="15.75" customHeight="1" s="32"/>
    <row r="948" ht="15.75" customHeight="1" s="32"/>
    <row r="949" ht="15.75" customHeight="1" s="32"/>
    <row r="950" ht="15.75" customHeight="1" s="32"/>
    <row r="951" ht="15.75" customHeight="1" s="32"/>
    <row r="952" ht="15.75" customHeight="1" s="32"/>
    <row r="953" ht="15.75" customHeight="1" s="32"/>
    <row r="954" ht="15.75" customHeight="1" s="32"/>
    <row r="955" ht="15.75" customHeight="1" s="32"/>
    <row r="956" ht="15.75" customHeight="1" s="32"/>
    <row r="957" ht="15.75" customHeight="1" s="32"/>
    <row r="958" ht="15.75" customHeight="1" s="32"/>
    <row r="959" ht="15.75" customHeight="1" s="32"/>
    <row r="960" ht="15.75" customHeight="1" s="32"/>
    <row r="961" ht="15.75" customHeight="1" s="32"/>
    <row r="962" ht="15.75" customHeight="1" s="32"/>
    <row r="963" ht="15.75" customHeight="1" s="32"/>
    <row r="964" ht="15.75" customHeight="1" s="32"/>
    <row r="965" ht="15.75" customHeight="1" s="32"/>
    <row r="966" ht="15.75" customHeight="1" s="32"/>
    <row r="967" ht="15.75" customHeight="1" s="32"/>
    <row r="968" ht="15.75" customHeight="1" s="32"/>
    <row r="969" ht="15.75" customHeight="1" s="32"/>
    <row r="970" ht="15.75" customHeight="1" s="32"/>
    <row r="971" ht="15.75" customHeight="1" s="32"/>
    <row r="972" ht="15.75" customHeight="1" s="32"/>
    <row r="973" ht="15.75" customHeight="1" s="32"/>
    <row r="974" ht="15.75" customHeight="1" s="32"/>
    <row r="975" ht="15.75" customHeight="1" s="32"/>
    <row r="976" ht="15.75" customHeight="1" s="32"/>
    <row r="977" ht="15.75" customHeight="1" s="32"/>
    <row r="978" ht="15.75" customHeight="1" s="32"/>
    <row r="979" ht="15.75" customHeight="1" s="32"/>
    <row r="980" ht="15.75" customHeight="1" s="32"/>
    <row r="981" ht="15.75" customHeight="1" s="32"/>
    <row r="982" ht="15.75" customHeight="1" s="32"/>
    <row r="983" ht="15.75" customHeight="1" s="32"/>
    <row r="984" ht="15.75" customHeight="1" s="32"/>
    <row r="985" ht="15.75" customHeight="1" s="32"/>
    <row r="986" ht="15.75" customHeight="1" s="32"/>
    <row r="987" ht="15.75" customHeight="1" s="32"/>
    <row r="988" ht="15.75" customHeight="1" s="32"/>
    <row r="989" ht="15.75" customHeight="1" s="32"/>
    <row r="990" ht="15.75" customHeight="1" s="32"/>
    <row r="991" ht="15.75" customHeight="1" s="32"/>
    <row r="992" ht="15.75" customHeight="1" s="32"/>
    <row r="993" ht="15.75" customHeight="1" s="32"/>
    <row r="994" ht="15.75" customHeight="1" s="32"/>
    <row r="995" ht="15.75" customHeight="1" s="32"/>
    <row r="996" ht="15.75" customHeight="1" s="32"/>
    <row r="997" ht="15.75" customHeight="1" s="32"/>
    <row r="998" ht="15.75" customHeight="1" s="32"/>
    <row r="999" ht="15.75" customHeight="1" s="32"/>
    <row r="1000" ht="15.75" customHeight="1" s="32"/>
    <row r="1001" ht="15.75" customHeight="1" s="32"/>
    <row r="1002" ht="15.75" customHeight="1" s="32"/>
  </sheetData>
  <pageMargins left="0.75" right="0.75" top="1" bottom="1" header="0" footer="0"/>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15"/>
  <sheetViews>
    <sheetView showGridLines="0" workbookViewId="0">
      <pane xSplit="1" ySplit="6" topLeftCell="B7" activePane="bottomRight" state="frozen"/>
      <selection pane="topRight" activeCell="B1" sqref="B1"/>
      <selection pane="bottomLeft" activeCell="A7" sqref="A7"/>
      <selection pane="bottomRight" activeCell="B7" sqref="B7"/>
    </sheetView>
  </sheetViews>
  <sheetFormatPr baseColWidth="8" defaultColWidth="14.43" defaultRowHeight="15" customHeight="1"/>
  <cols>
    <col width="101.43" customWidth="1" style="32" min="1" max="1"/>
    <col width="22" customWidth="1" style="32" min="2" max="6"/>
    <col width="8.710000000000001" customWidth="1" style="32" min="7" max="26"/>
  </cols>
  <sheetData>
    <row r="1">
      <c r="A1" s="1" t="inlineStr">
        <is>
          <t>Punto de equilibrio — La Esquina (peor escenario, base: 148 estantes disponibles)</t>
        </is>
      </c>
    </row>
    <row r="2"/>
    <row r="3">
      <c r="A3" s="2" t="inlineStr">
        <is>
          <t>Estantes necesarios para el equilibrio operativo mensual (solo cuotas, sin Miedos ni suscripciones)</t>
        </is>
      </c>
    </row>
    <row r="4">
      <c r="A4" s="4" t="inlineStr">
        <is>
          <t>Estantes necesarios</t>
        </is>
      </c>
      <c r="B4" s="9">
        <f>ROUNDUP(Supuestos!$B$37/Supuestos!$B$9,0)</f>
        <v/>
      </c>
    </row>
    <row r="5">
      <c r="A5" s="2" t="inlineStr">
        <is>
          <t>Ocupación necesaria (% de los 148 estantes disponibles)</t>
        </is>
      </c>
      <c r="B5" s="12">
        <f>B4/Supuestos!$B$6</f>
        <v/>
      </c>
    </row>
    <row r="6"/>
    <row r="7">
      <c r="A7" s="2" t="inlineStr">
        <is>
          <t>Escenarios en régimen (ocupación estable, sobre 148 estantes disponibles, solo cuotas)</t>
        </is>
      </c>
    </row>
    <row r="8">
      <c r="A8" s="4" t="inlineStr">
        <is>
          <t>Ocupación (%)</t>
        </is>
      </c>
      <c r="B8" s="4" t="inlineStr">
        <is>
          <t>Estantes pagando</t>
        </is>
      </c>
      <c r="C8" s="4" t="inlineStr">
        <is>
          <t>Ingreso por cuotas (USD)</t>
        </is>
      </c>
      <c r="D8" s="4" t="inlineStr">
        <is>
          <t>Costos totales (USD)</t>
        </is>
      </c>
      <c r="E8" s="4" t="inlineStr">
        <is>
          <t>Superávit / Déficit mensual (USD)</t>
        </is>
      </c>
      <c r="F8" s="4" t="inlineStr">
        <is>
          <t>¿Sostenible?</t>
        </is>
      </c>
    </row>
    <row r="9">
      <c r="A9" s="14" t="n">
        <v>0.4</v>
      </c>
      <c r="B9" s="9">
        <f>ROUND(A9*Supuestos!$B$6,0)</f>
        <v/>
      </c>
      <c r="C9" s="16">
        <f>B9*Supuestos!$B$9</f>
        <v/>
      </c>
      <c r="D9" s="16">
        <f>Supuestos!$B$37</f>
        <v/>
      </c>
      <c r="E9" s="18">
        <f>C9-D9</f>
        <v/>
      </c>
      <c r="F9" s="27">
        <f>IF(E9&gt;=0,"Sí","No")</f>
        <v/>
      </c>
    </row>
    <row r="10">
      <c r="A10" s="14" t="n">
        <v>0.5</v>
      </c>
      <c r="B10" s="9">
        <f>ROUND(A10*Supuestos!$B$6,0)</f>
        <v/>
      </c>
      <c r="C10" s="16">
        <f>B10*Supuestos!$B$9</f>
        <v/>
      </c>
      <c r="D10" s="16">
        <f>Supuestos!$B$37</f>
        <v/>
      </c>
      <c r="E10" s="18">
        <f>C10-D10</f>
        <v/>
      </c>
      <c r="F10" s="27">
        <f>IF(E10&gt;=0,"Sí","No")</f>
        <v/>
      </c>
    </row>
    <row r="11">
      <c r="A11" s="14" t="n">
        <v>0.6</v>
      </c>
      <c r="B11" s="9">
        <f>ROUND(A11*Supuestos!$B$6,0)</f>
        <v/>
      </c>
      <c r="C11" s="16">
        <f>B11*Supuestos!$B$9</f>
        <v/>
      </c>
      <c r="D11" s="16">
        <f>Supuestos!$B$37</f>
        <v/>
      </c>
      <c r="E11" s="18">
        <f>C11-D11</f>
        <v/>
      </c>
      <c r="F11" s="27">
        <f>IF(E11&gt;=0,"Sí","No")</f>
        <v/>
      </c>
    </row>
    <row r="12">
      <c r="A12" s="14" t="n">
        <v>0.7</v>
      </c>
      <c r="B12" s="9">
        <f>ROUND(A12*Supuestos!$B$6,0)</f>
        <v/>
      </c>
      <c r="C12" s="16">
        <f>B12*Supuestos!$B$9</f>
        <v/>
      </c>
      <c r="D12" s="16">
        <f>Supuestos!$B$37</f>
        <v/>
      </c>
      <c r="E12" s="18">
        <f>C12-D12</f>
        <v/>
      </c>
      <c r="F12" s="27">
        <f>IF(E12&gt;=0,"Sí","No")</f>
        <v/>
      </c>
    </row>
    <row r="13">
      <c r="A13" s="14" t="n">
        <v>0.8</v>
      </c>
      <c r="B13" s="9">
        <f>ROUND(A13*Supuestos!$B$6,0)</f>
        <v/>
      </c>
      <c r="C13" s="16">
        <f>B13*Supuestos!$B$9</f>
        <v/>
      </c>
      <c r="D13" s="16">
        <f>Supuestos!$B$37</f>
        <v/>
      </c>
      <c r="E13" s="18">
        <f>C13-D13</f>
        <v/>
      </c>
      <c r="F13" s="27">
        <f>IF(E13&gt;=0,"Sí","No")</f>
        <v/>
      </c>
    </row>
    <row r="14">
      <c r="A14" s="14" t="n">
        <v>0.9</v>
      </c>
      <c r="B14" s="9">
        <f>ROUND(A14*Supuestos!$B$6,0)</f>
        <v/>
      </c>
      <c r="C14" s="16">
        <f>B14*Supuestos!$B$9</f>
        <v/>
      </c>
      <c r="D14" s="16">
        <f>Supuestos!$B$37</f>
        <v/>
      </c>
      <c r="E14" s="18">
        <f>C14-D14</f>
        <v/>
      </c>
      <c r="F14" s="27">
        <f>IF(E14&gt;=0,"Sí","No")</f>
        <v/>
      </c>
    </row>
    <row r="15">
      <c r="A15" s="14" t="n">
        <v>1</v>
      </c>
      <c r="B15" s="9">
        <f>ROUND(A15*Supuestos!$B$6,0)</f>
        <v/>
      </c>
      <c r="C15" s="16">
        <f>B15*Supuestos!$B$9</f>
        <v/>
      </c>
      <c r="D15" s="16">
        <f>Supuestos!$B$37</f>
        <v/>
      </c>
      <c r="E15" s="18">
        <f>C15-D15</f>
        <v/>
      </c>
      <c r="F15" s="27">
        <f>IF(E15&gt;=0,"Sí","No")</f>
        <v/>
      </c>
    </row>
    <row r="21" ht="15.75" customHeight="1" s="32"/>
    <row r="22" ht="15.75" customHeight="1" s="32"/>
    <row r="23" ht="15.75" customHeight="1" s="32"/>
    <row r="24" ht="15.75" customHeight="1" s="32"/>
    <row r="25" ht="15.75" customHeight="1" s="32"/>
    <row r="26" ht="15.75" customHeight="1" s="32"/>
    <row r="27" ht="15.75" customHeight="1" s="32"/>
    <row r="28" ht="15.75" customHeight="1" s="32"/>
    <row r="29" ht="15.75" customHeight="1" s="32"/>
    <row r="30" ht="15.75" customHeight="1" s="32"/>
    <row r="31" ht="15.75" customHeight="1" s="32"/>
    <row r="32" ht="15.75" customHeight="1" s="32"/>
    <row r="33" ht="15.75" customHeight="1" s="32"/>
    <row r="34" ht="15.75" customHeight="1" s="32"/>
    <row r="35" ht="15.75" customHeight="1" s="32"/>
    <row r="36" ht="15.75" customHeight="1" s="32"/>
    <row r="37" ht="15.75" customHeight="1" s="32"/>
    <row r="38" ht="15.75" customHeight="1" s="32"/>
    <row r="39" ht="15.75" customHeight="1" s="32"/>
    <row r="40" ht="15.75" customHeight="1" s="32"/>
    <row r="41" ht="15.75" customHeight="1" s="32"/>
    <row r="42" ht="15.75" customHeight="1" s="32"/>
    <row r="43" ht="15.75" customHeight="1" s="32"/>
    <row r="44" ht="15.75" customHeight="1" s="32"/>
    <row r="45" ht="15.75" customHeight="1" s="32"/>
    <row r="46" ht="15.75" customHeight="1" s="32"/>
    <row r="47" ht="15.75" customHeight="1" s="32"/>
    <row r="48" ht="15.75" customHeight="1" s="32"/>
    <row r="49" ht="15.75" customHeight="1" s="32"/>
    <row r="50" ht="15.75" customHeight="1" s="32"/>
    <row r="51" ht="15.75" customHeight="1" s="32"/>
    <row r="52" ht="15.75" customHeight="1" s="32"/>
    <row r="53" ht="15.75" customHeight="1" s="32"/>
    <row r="54" ht="15.75" customHeight="1" s="32"/>
    <row r="55" ht="15.75" customHeight="1" s="32"/>
    <row r="56" ht="15.75" customHeight="1" s="32"/>
    <row r="57" ht="15.75" customHeight="1" s="32"/>
    <row r="58" ht="15.75" customHeight="1" s="32"/>
    <row r="59" ht="15.75" customHeight="1" s="32"/>
    <row r="60" ht="15.75" customHeight="1" s="32"/>
    <row r="61" ht="15.75" customHeight="1" s="32"/>
    <row r="62" ht="15.75" customHeight="1" s="32"/>
    <row r="63" ht="15.75" customHeight="1" s="32"/>
    <row r="64" ht="15.75" customHeight="1" s="32"/>
    <row r="65" ht="15.75" customHeight="1" s="32"/>
    <row r="66" ht="15.75" customHeight="1" s="32"/>
    <row r="67" ht="15.75" customHeight="1" s="32"/>
    <row r="68" ht="15.75" customHeight="1" s="32"/>
    <row r="69" ht="15.75" customHeight="1" s="32"/>
    <row r="70" ht="15.75" customHeight="1" s="32"/>
    <row r="71" ht="15.75" customHeight="1" s="32"/>
    <row r="72" ht="15.75" customHeight="1" s="32"/>
    <row r="73" ht="15.75" customHeight="1" s="32"/>
    <row r="74" ht="15.75" customHeight="1" s="32"/>
    <row r="75" ht="15.75" customHeight="1" s="32"/>
    <row r="76" ht="15.75" customHeight="1" s="32"/>
    <row r="77" ht="15.75" customHeight="1" s="32"/>
    <row r="78" ht="15.75" customHeight="1" s="32"/>
    <row r="79" ht="15.75" customHeight="1" s="32"/>
    <row r="80" ht="15.75" customHeight="1" s="32"/>
    <row r="81" ht="15.75" customHeight="1" s="32"/>
    <row r="82" ht="15.75" customHeight="1" s="32"/>
    <row r="83" ht="15.75" customHeight="1" s="32"/>
    <row r="84" ht="15.75" customHeight="1" s="32"/>
    <row r="85" ht="15.75" customHeight="1" s="32"/>
    <row r="86" ht="15.75" customHeight="1" s="32"/>
    <row r="87" ht="15.75" customHeight="1" s="32"/>
    <row r="88" ht="15.75" customHeight="1" s="32"/>
    <row r="89" ht="15.75" customHeight="1" s="32"/>
    <row r="90" ht="15.75" customHeight="1" s="32"/>
    <row r="91" ht="15.75" customHeight="1" s="32"/>
    <row r="92" ht="15.75" customHeight="1" s="32"/>
    <row r="93" ht="15.75" customHeight="1" s="32"/>
    <row r="94" ht="15.75" customHeight="1" s="32"/>
    <row r="95" ht="15.75" customHeight="1" s="32"/>
    <row r="96" ht="15.75" customHeight="1" s="32"/>
    <row r="97" ht="15.75" customHeight="1" s="32"/>
    <row r="98" ht="15.75" customHeight="1" s="32"/>
    <row r="99" ht="15.75" customHeight="1" s="32"/>
    <row r="100" ht="15.75" customHeight="1" s="32"/>
    <row r="101" ht="15.75" customHeight="1" s="32"/>
    <row r="102" ht="15.75" customHeight="1" s="32"/>
    <row r="103" ht="15.75" customHeight="1" s="32"/>
    <row r="104" ht="15.75" customHeight="1" s="32"/>
    <row r="105" ht="15.75" customHeight="1" s="32"/>
    <row r="106" ht="15.75" customHeight="1" s="32"/>
    <row r="107" ht="15.75" customHeight="1" s="32"/>
    <row r="108" ht="15.75" customHeight="1" s="32"/>
    <row r="109" ht="15.75" customHeight="1" s="32"/>
    <row r="110" ht="15.75" customHeight="1" s="32"/>
    <row r="111" ht="15.75" customHeight="1" s="32"/>
    <row r="112" ht="15.75" customHeight="1" s="32"/>
    <row r="113" ht="15.75" customHeight="1" s="32"/>
    <row r="114" ht="15.75" customHeight="1" s="32"/>
    <row r="115" ht="15.75" customHeight="1" s="32"/>
    <row r="116" ht="15.75" customHeight="1" s="32"/>
    <row r="117" ht="15.75" customHeight="1" s="32"/>
    <row r="118" ht="15.75" customHeight="1" s="32"/>
    <row r="119" ht="15.75" customHeight="1" s="32"/>
    <row r="120" ht="15.75" customHeight="1" s="32"/>
    <row r="121" ht="15.75" customHeight="1" s="32"/>
    <row r="122" ht="15.75" customHeight="1" s="32"/>
    <row r="123" ht="15.75" customHeight="1" s="32"/>
    <row r="124" ht="15.75" customHeight="1" s="32"/>
    <row r="125" ht="15.75" customHeight="1" s="32"/>
    <row r="126" ht="15.75" customHeight="1" s="32"/>
    <row r="127" ht="15.75" customHeight="1" s="32"/>
    <row r="128" ht="15.75" customHeight="1" s="32"/>
    <row r="129" ht="15.75" customHeight="1" s="32"/>
    <row r="130" ht="15.75" customHeight="1" s="32"/>
    <row r="131" ht="15.75" customHeight="1" s="32"/>
    <row r="132" ht="15.75" customHeight="1" s="32"/>
    <row r="133" ht="15.75" customHeight="1" s="32"/>
    <row r="134" ht="15.75" customHeight="1" s="32"/>
    <row r="135" ht="15.75" customHeight="1" s="32"/>
    <row r="136" ht="15.75" customHeight="1" s="32"/>
    <row r="137" ht="15.75" customHeight="1" s="32"/>
    <row r="138" ht="15.75" customHeight="1" s="32"/>
    <row r="139" ht="15.75" customHeight="1" s="32"/>
    <row r="140" ht="15.75" customHeight="1" s="32"/>
    <row r="141" ht="15.75" customHeight="1" s="32"/>
    <row r="142" ht="15.75" customHeight="1" s="32"/>
    <row r="143" ht="15.75" customHeight="1" s="32"/>
    <row r="144" ht="15.75" customHeight="1" s="32"/>
    <row r="145" ht="15.75" customHeight="1" s="32"/>
    <row r="146" ht="15.75" customHeight="1" s="32"/>
    <row r="147" ht="15.75" customHeight="1" s="32"/>
    <row r="148" ht="15.75" customHeight="1" s="32"/>
    <row r="149" ht="15.75" customHeight="1" s="32"/>
    <row r="150" ht="15.75" customHeight="1" s="32"/>
    <row r="151" ht="15.75" customHeight="1" s="32"/>
    <row r="152" ht="15.75" customHeight="1" s="32"/>
    <row r="153" ht="15.75" customHeight="1" s="32"/>
    <row r="154" ht="15.75" customHeight="1" s="32"/>
    <row r="155" ht="15.75" customHeight="1" s="32"/>
    <row r="156" ht="15.75" customHeight="1" s="32"/>
    <row r="157" ht="15.75" customHeight="1" s="32"/>
    <row r="158" ht="15.75" customHeight="1" s="32"/>
    <row r="159" ht="15.75" customHeight="1" s="32"/>
    <row r="160" ht="15.75" customHeight="1" s="32"/>
    <row r="161" ht="15.75" customHeight="1" s="32"/>
    <row r="162" ht="15.75" customHeight="1" s="32"/>
    <row r="163" ht="15.75" customHeight="1" s="32"/>
    <row r="164" ht="15.75" customHeight="1" s="32"/>
    <row r="165" ht="15.75" customHeight="1" s="32"/>
    <row r="166" ht="15.75" customHeight="1" s="32"/>
    <row r="167" ht="15.75" customHeight="1" s="32"/>
    <row r="168" ht="15.75" customHeight="1" s="32"/>
    <row r="169" ht="15.75" customHeight="1" s="32"/>
    <row r="170" ht="15.75" customHeight="1" s="32"/>
    <row r="171" ht="15.75" customHeight="1" s="32"/>
    <row r="172" ht="15.75" customHeight="1" s="32"/>
    <row r="173" ht="15.75" customHeight="1" s="32"/>
    <row r="174" ht="15.75" customHeight="1" s="32"/>
    <row r="175" ht="15.75" customHeight="1" s="32"/>
    <row r="176" ht="15.75" customHeight="1" s="32"/>
    <row r="177" ht="15.75" customHeight="1" s="32"/>
    <row r="178" ht="15.75" customHeight="1" s="32"/>
    <row r="179" ht="15.75" customHeight="1" s="32"/>
    <row r="180" ht="15.75" customHeight="1" s="32"/>
    <row r="181" ht="15.75" customHeight="1" s="32"/>
    <row r="182" ht="15.75" customHeight="1" s="32"/>
    <row r="183" ht="15.75" customHeight="1" s="32"/>
    <row r="184" ht="15.75" customHeight="1" s="32"/>
    <row r="185" ht="15.75" customHeight="1" s="32"/>
    <row r="186" ht="15.75" customHeight="1" s="32"/>
    <row r="187" ht="15.75" customHeight="1" s="32"/>
    <row r="188" ht="15.75" customHeight="1" s="32"/>
    <row r="189" ht="15.75" customHeight="1" s="32"/>
    <row r="190" ht="15.75" customHeight="1" s="32"/>
    <row r="191" ht="15.75" customHeight="1" s="32"/>
    <row r="192" ht="15.75" customHeight="1" s="32"/>
    <row r="193" ht="15.75" customHeight="1" s="32"/>
    <row r="194" ht="15.75" customHeight="1" s="32"/>
    <row r="195" ht="15.75" customHeight="1" s="32"/>
    <row r="196" ht="15.75" customHeight="1" s="32"/>
    <row r="197" ht="15.75" customHeight="1" s="32"/>
    <row r="198" ht="15.75" customHeight="1" s="32"/>
    <row r="199" ht="15.75" customHeight="1" s="32"/>
    <row r="200" ht="15.75" customHeight="1" s="32"/>
    <row r="201" ht="15.75" customHeight="1" s="32"/>
    <row r="202" ht="15.75" customHeight="1" s="32"/>
    <row r="203" ht="15.75" customHeight="1" s="32"/>
    <row r="204" ht="15.75" customHeight="1" s="32"/>
    <row r="205" ht="15.75" customHeight="1" s="32"/>
    <row r="206" ht="15.75" customHeight="1" s="32"/>
    <row r="207" ht="15.75" customHeight="1" s="32"/>
    <row r="208" ht="15.75" customHeight="1" s="32"/>
    <row r="209" ht="15.75" customHeight="1" s="32"/>
    <row r="210" ht="15.75" customHeight="1" s="32"/>
    <row r="211" ht="15.75" customHeight="1" s="32"/>
    <row r="212" ht="15.75" customHeight="1" s="32"/>
    <row r="213" ht="15.75" customHeight="1" s="32"/>
    <row r="214" ht="15.75" customHeight="1" s="32"/>
    <row r="215" ht="15.75" customHeight="1" s="32"/>
    <row r="216" ht="15.75" customHeight="1" s="32"/>
    <row r="217" ht="15.75" customHeight="1" s="32"/>
    <row r="218" ht="15.75" customHeight="1" s="32"/>
    <row r="219" ht="15.75" customHeight="1" s="32"/>
    <row r="220" ht="15.75" customHeight="1" s="32"/>
    <row r="221" ht="15.75" customHeight="1" s="32"/>
    <row r="222" ht="15.75" customHeight="1" s="32"/>
    <row r="223" ht="15.75" customHeight="1" s="32"/>
    <row r="224" ht="15.75" customHeight="1" s="32"/>
    <row r="225" ht="15.75" customHeight="1" s="32"/>
    <row r="226" ht="15.75" customHeight="1" s="32"/>
    <row r="227" ht="15.75" customHeight="1" s="32"/>
    <row r="228" ht="15.75" customHeight="1" s="32"/>
    <row r="229" ht="15.75" customHeight="1" s="32"/>
    <row r="230" ht="15.75" customHeight="1" s="32"/>
    <row r="231" ht="15.75" customHeight="1" s="32"/>
    <row r="232" ht="15.75" customHeight="1" s="32"/>
    <row r="233" ht="15.75" customHeight="1" s="32"/>
    <row r="234" ht="15.75" customHeight="1" s="32"/>
    <row r="235" ht="15.75" customHeight="1" s="32"/>
    <row r="236" ht="15.75" customHeight="1" s="32"/>
    <row r="237" ht="15.75" customHeight="1" s="32"/>
    <row r="238" ht="15.75" customHeight="1" s="32"/>
    <row r="239" ht="15.75" customHeight="1" s="32"/>
    <row r="240" ht="15.75" customHeight="1" s="32"/>
    <row r="241" ht="15.75" customHeight="1" s="32"/>
    <row r="242" ht="15.75" customHeight="1" s="32"/>
    <row r="243" ht="15.75" customHeight="1" s="32"/>
    <row r="244" ht="15.75" customHeight="1" s="32"/>
    <row r="245" ht="15.75" customHeight="1" s="32"/>
    <row r="246" ht="15.75" customHeight="1" s="32"/>
    <row r="247" ht="15.75" customHeight="1" s="32"/>
    <row r="248" ht="15.75" customHeight="1" s="32"/>
    <row r="249" ht="15.75" customHeight="1" s="32"/>
    <row r="250" ht="15.75" customHeight="1" s="32"/>
    <row r="251" ht="15.75" customHeight="1" s="32"/>
    <row r="252" ht="15.75" customHeight="1" s="32"/>
    <row r="253" ht="15.75" customHeight="1" s="32"/>
    <row r="254" ht="15.75" customHeight="1" s="32"/>
    <row r="255" ht="15.75" customHeight="1" s="32"/>
    <row r="256" ht="15.75" customHeight="1" s="32"/>
    <row r="257" ht="15.75" customHeight="1" s="32"/>
    <row r="258" ht="15.75" customHeight="1" s="32"/>
    <row r="259" ht="15.75" customHeight="1" s="32"/>
    <row r="260" ht="15.75" customHeight="1" s="32"/>
    <row r="261" ht="15.75" customHeight="1" s="32"/>
    <row r="262" ht="15.75" customHeight="1" s="32"/>
    <row r="263" ht="15.75" customHeight="1" s="32"/>
    <row r="264" ht="15.75" customHeight="1" s="32"/>
    <row r="265" ht="15.75" customHeight="1" s="32"/>
    <row r="266" ht="15.75" customHeight="1" s="32"/>
    <row r="267" ht="15.75" customHeight="1" s="32"/>
    <row r="268" ht="15.75" customHeight="1" s="32"/>
    <row r="269" ht="15.75" customHeight="1" s="32"/>
    <row r="270" ht="15.75" customHeight="1" s="32"/>
    <row r="271" ht="15.75" customHeight="1" s="32"/>
    <row r="272" ht="15.75" customHeight="1" s="32"/>
    <row r="273" ht="15.75" customHeight="1" s="32"/>
    <row r="274" ht="15.75" customHeight="1" s="32"/>
    <row r="275" ht="15.75" customHeight="1" s="32"/>
    <row r="276" ht="15.75" customHeight="1" s="32"/>
    <row r="277" ht="15.75" customHeight="1" s="32"/>
    <row r="278" ht="15.75" customHeight="1" s="32"/>
    <row r="279" ht="15.75" customHeight="1" s="32"/>
    <row r="280" ht="15.75" customHeight="1" s="32"/>
    <row r="281" ht="15.75" customHeight="1" s="32"/>
    <row r="282" ht="15.75" customHeight="1" s="32"/>
    <row r="283" ht="15.75" customHeight="1" s="32"/>
    <row r="284" ht="15.75" customHeight="1" s="32"/>
    <row r="285" ht="15.75" customHeight="1" s="32"/>
    <row r="286" ht="15.75" customHeight="1" s="32"/>
    <row r="287" ht="15.75" customHeight="1" s="32"/>
    <row r="288" ht="15.75" customHeight="1" s="32"/>
    <row r="289" ht="15.75" customHeight="1" s="32"/>
    <row r="290" ht="15.75" customHeight="1" s="32"/>
    <row r="291" ht="15.75" customHeight="1" s="32"/>
    <row r="292" ht="15.75" customHeight="1" s="32"/>
    <row r="293" ht="15.75" customHeight="1" s="32"/>
    <row r="294" ht="15.75" customHeight="1" s="32"/>
    <row r="295" ht="15.75" customHeight="1" s="32"/>
    <row r="296" ht="15.75" customHeight="1" s="32"/>
    <row r="297" ht="15.75" customHeight="1" s="32"/>
    <row r="298" ht="15.75" customHeight="1" s="32"/>
    <row r="299" ht="15.75" customHeight="1" s="32"/>
    <row r="300" ht="15.75" customHeight="1" s="32"/>
    <row r="301" ht="15.75" customHeight="1" s="32"/>
    <row r="302" ht="15.75" customHeight="1" s="32"/>
    <row r="303" ht="15.75" customHeight="1" s="32"/>
    <row r="304" ht="15.75" customHeight="1" s="32"/>
    <row r="305" ht="15.75" customHeight="1" s="32"/>
    <row r="306" ht="15.75" customHeight="1" s="32"/>
    <row r="307" ht="15.75" customHeight="1" s="32"/>
    <row r="308" ht="15.75" customHeight="1" s="32"/>
    <row r="309" ht="15.75" customHeight="1" s="32"/>
    <row r="310" ht="15.75" customHeight="1" s="32"/>
    <row r="311" ht="15.75" customHeight="1" s="32"/>
    <row r="312" ht="15.75" customHeight="1" s="32"/>
    <row r="313" ht="15.75" customHeight="1" s="32"/>
    <row r="314" ht="15.75" customHeight="1" s="32"/>
    <row r="315" ht="15.75" customHeight="1" s="32"/>
    <row r="316" ht="15.75" customHeight="1" s="32"/>
    <row r="317" ht="15.75" customHeight="1" s="32"/>
    <row r="318" ht="15.75" customHeight="1" s="32"/>
    <row r="319" ht="15.75" customHeight="1" s="32"/>
    <row r="320" ht="15.75" customHeight="1" s="32"/>
    <row r="321" ht="15.75" customHeight="1" s="32"/>
    <row r="322" ht="15.75" customHeight="1" s="32"/>
    <row r="323" ht="15.75" customHeight="1" s="32"/>
    <row r="324" ht="15.75" customHeight="1" s="32"/>
    <row r="325" ht="15.75" customHeight="1" s="32"/>
    <row r="326" ht="15.75" customHeight="1" s="32"/>
    <row r="327" ht="15.75" customHeight="1" s="32"/>
    <row r="328" ht="15.75" customHeight="1" s="32"/>
    <row r="329" ht="15.75" customHeight="1" s="32"/>
    <row r="330" ht="15.75" customHeight="1" s="32"/>
    <row r="331" ht="15.75" customHeight="1" s="32"/>
    <row r="332" ht="15.75" customHeight="1" s="32"/>
    <row r="333" ht="15.75" customHeight="1" s="32"/>
    <row r="334" ht="15.75" customHeight="1" s="32"/>
    <row r="335" ht="15.75" customHeight="1" s="32"/>
    <row r="336" ht="15.75" customHeight="1" s="32"/>
    <row r="337" ht="15.75" customHeight="1" s="32"/>
    <row r="338" ht="15.75" customHeight="1" s="32"/>
    <row r="339" ht="15.75" customHeight="1" s="32"/>
    <row r="340" ht="15.75" customHeight="1" s="32"/>
    <row r="341" ht="15.75" customHeight="1" s="32"/>
    <row r="342" ht="15.75" customHeight="1" s="32"/>
    <row r="343" ht="15.75" customHeight="1" s="32"/>
    <row r="344" ht="15.75" customHeight="1" s="32"/>
    <row r="345" ht="15.75" customHeight="1" s="32"/>
    <row r="346" ht="15.75" customHeight="1" s="32"/>
    <row r="347" ht="15.75" customHeight="1" s="32"/>
    <row r="348" ht="15.75" customHeight="1" s="32"/>
    <row r="349" ht="15.75" customHeight="1" s="32"/>
    <row r="350" ht="15.75" customHeight="1" s="32"/>
    <row r="351" ht="15.75" customHeight="1" s="32"/>
    <row r="352" ht="15.75" customHeight="1" s="32"/>
    <row r="353" ht="15.75" customHeight="1" s="32"/>
    <row r="354" ht="15.75" customHeight="1" s="32"/>
    <row r="355" ht="15.75" customHeight="1" s="32"/>
    <row r="356" ht="15.75" customHeight="1" s="32"/>
    <row r="357" ht="15.75" customHeight="1" s="32"/>
    <row r="358" ht="15.75" customHeight="1" s="32"/>
    <row r="359" ht="15.75" customHeight="1" s="32"/>
    <row r="360" ht="15.75" customHeight="1" s="32"/>
    <row r="361" ht="15.75" customHeight="1" s="32"/>
    <row r="362" ht="15.75" customHeight="1" s="32"/>
    <row r="363" ht="15.75" customHeight="1" s="32"/>
    <row r="364" ht="15.75" customHeight="1" s="32"/>
    <row r="365" ht="15.75" customHeight="1" s="32"/>
    <row r="366" ht="15.75" customHeight="1" s="32"/>
    <row r="367" ht="15.75" customHeight="1" s="32"/>
    <row r="368" ht="15.75" customHeight="1" s="32"/>
    <row r="369" ht="15.75" customHeight="1" s="32"/>
    <row r="370" ht="15.75" customHeight="1" s="32"/>
    <row r="371" ht="15.75" customHeight="1" s="32"/>
    <row r="372" ht="15.75" customHeight="1" s="32"/>
    <row r="373" ht="15.75" customHeight="1" s="32"/>
    <row r="374" ht="15.75" customHeight="1" s="32"/>
    <row r="375" ht="15.75" customHeight="1" s="32"/>
    <row r="376" ht="15.75" customHeight="1" s="32"/>
    <row r="377" ht="15.75" customHeight="1" s="32"/>
    <row r="378" ht="15.75" customHeight="1" s="32"/>
    <row r="379" ht="15.75" customHeight="1" s="32"/>
    <row r="380" ht="15.75" customHeight="1" s="32"/>
    <row r="381" ht="15.75" customHeight="1" s="32"/>
    <row r="382" ht="15.75" customHeight="1" s="32"/>
    <row r="383" ht="15.75" customHeight="1" s="32"/>
    <row r="384" ht="15.75" customHeight="1" s="32"/>
    <row r="385" ht="15.75" customHeight="1" s="32"/>
    <row r="386" ht="15.75" customHeight="1" s="32"/>
    <row r="387" ht="15.75" customHeight="1" s="32"/>
    <row r="388" ht="15.75" customHeight="1" s="32"/>
    <row r="389" ht="15.75" customHeight="1" s="32"/>
    <row r="390" ht="15.75" customHeight="1" s="32"/>
    <row r="391" ht="15.75" customHeight="1" s="32"/>
    <row r="392" ht="15.75" customHeight="1" s="32"/>
    <row r="393" ht="15.75" customHeight="1" s="32"/>
    <row r="394" ht="15.75" customHeight="1" s="32"/>
    <row r="395" ht="15.75" customHeight="1" s="32"/>
    <row r="396" ht="15.75" customHeight="1" s="32"/>
    <row r="397" ht="15.75" customHeight="1" s="32"/>
    <row r="398" ht="15.75" customHeight="1" s="32"/>
    <row r="399" ht="15.75" customHeight="1" s="32"/>
    <row r="400" ht="15.75" customHeight="1" s="32"/>
    <row r="401" ht="15.75" customHeight="1" s="32"/>
    <row r="402" ht="15.75" customHeight="1" s="32"/>
    <row r="403" ht="15.75" customHeight="1" s="32"/>
    <row r="404" ht="15.75" customHeight="1" s="32"/>
    <row r="405" ht="15.75" customHeight="1" s="32"/>
    <row r="406" ht="15.75" customHeight="1" s="32"/>
    <row r="407" ht="15.75" customHeight="1" s="32"/>
    <row r="408" ht="15.75" customHeight="1" s="32"/>
    <row r="409" ht="15.75" customHeight="1" s="32"/>
    <row r="410" ht="15.75" customHeight="1" s="32"/>
    <row r="411" ht="15.75" customHeight="1" s="32"/>
    <row r="412" ht="15.75" customHeight="1" s="32"/>
    <row r="413" ht="15.75" customHeight="1" s="32"/>
    <row r="414" ht="15.75" customHeight="1" s="32"/>
    <row r="415" ht="15.75" customHeight="1" s="32"/>
    <row r="416" ht="15.75" customHeight="1" s="32"/>
    <row r="417" ht="15.75" customHeight="1" s="32"/>
    <row r="418" ht="15.75" customHeight="1" s="32"/>
    <row r="419" ht="15.75" customHeight="1" s="32"/>
    <row r="420" ht="15.75" customHeight="1" s="32"/>
    <row r="421" ht="15.75" customHeight="1" s="32"/>
    <row r="422" ht="15.75" customHeight="1" s="32"/>
    <row r="423" ht="15.75" customHeight="1" s="32"/>
    <row r="424" ht="15.75" customHeight="1" s="32"/>
    <row r="425" ht="15.75" customHeight="1" s="32"/>
    <row r="426" ht="15.75" customHeight="1" s="32"/>
    <row r="427" ht="15.75" customHeight="1" s="32"/>
    <row r="428" ht="15.75" customHeight="1" s="32"/>
    <row r="429" ht="15.75" customHeight="1" s="32"/>
    <row r="430" ht="15.75" customHeight="1" s="32"/>
    <row r="431" ht="15.75" customHeight="1" s="32"/>
    <row r="432" ht="15.75" customHeight="1" s="32"/>
    <row r="433" ht="15.75" customHeight="1" s="32"/>
    <row r="434" ht="15.75" customHeight="1" s="32"/>
    <row r="435" ht="15.75" customHeight="1" s="32"/>
    <row r="436" ht="15.75" customHeight="1" s="32"/>
    <row r="437" ht="15.75" customHeight="1" s="32"/>
    <row r="438" ht="15.75" customHeight="1" s="32"/>
    <row r="439" ht="15.75" customHeight="1" s="32"/>
    <row r="440" ht="15.75" customHeight="1" s="32"/>
    <row r="441" ht="15.75" customHeight="1" s="32"/>
    <row r="442" ht="15.75" customHeight="1" s="32"/>
    <row r="443" ht="15.75" customHeight="1" s="32"/>
    <row r="444" ht="15.75" customHeight="1" s="32"/>
    <row r="445" ht="15.75" customHeight="1" s="32"/>
    <row r="446" ht="15.75" customHeight="1" s="32"/>
    <row r="447" ht="15.75" customHeight="1" s="32"/>
    <row r="448" ht="15.75" customHeight="1" s="32"/>
    <row r="449" ht="15.75" customHeight="1" s="32"/>
    <row r="450" ht="15.75" customHeight="1" s="32"/>
    <row r="451" ht="15.75" customHeight="1" s="32"/>
    <row r="452" ht="15.75" customHeight="1" s="32"/>
    <row r="453" ht="15.75" customHeight="1" s="32"/>
    <row r="454" ht="15.75" customHeight="1" s="32"/>
    <row r="455" ht="15.75" customHeight="1" s="32"/>
    <row r="456" ht="15.75" customHeight="1" s="32"/>
    <row r="457" ht="15.75" customHeight="1" s="32"/>
    <row r="458" ht="15.75" customHeight="1" s="32"/>
    <row r="459" ht="15.75" customHeight="1" s="32"/>
    <row r="460" ht="15.75" customHeight="1" s="32"/>
    <row r="461" ht="15.75" customHeight="1" s="32"/>
    <row r="462" ht="15.75" customHeight="1" s="32"/>
    <row r="463" ht="15.75" customHeight="1" s="32"/>
    <row r="464" ht="15.75" customHeight="1" s="32"/>
    <row r="465" ht="15.75" customHeight="1" s="32"/>
    <row r="466" ht="15.75" customHeight="1" s="32"/>
    <row r="467" ht="15.75" customHeight="1" s="32"/>
    <row r="468" ht="15.75" customHeight="1" s="32"/>
    <row r="469" ht="15.75" customHeight="1" s="32"/>
    <row r="470" ht="15.75" customHeight="1" s="32"/>
    <row r="471" ht="15.75" customHeight="1" s="32"/>
    <row r="472" ht="15.75" customHeight="1" s="32"/>
    <row r="473" ht="15.75" customHeight="1" s="32"/>
    <row r="474" ht="15.75" customHeight="1" s="32"/>
    <row r="475" ht="15.75" customHeight="1" s="32"/>
    <row r="476" ht="15.75" customHeight="1" s="32"/>
    <row r="477" ht="15.75" customHeight="1" s="32"/>
    <row r="478" ht="15.75" customHeight="1" s="32"/>
    <row r="479" ht="15.75" customHeight="1" s="32"/>
    <row r="480" ht="15.75" customHeight="1" s="32"/>
    <row r="481" ht="15.75" customHeight="1" s="32"/>
    <row r="482" ht="15.75" customHeight="1" s="32"/>
    <row r="483" ht="15.75" customHeight="1" s="32"/>
    <row r="484" ht="15.75" customHeight="1" s="32"/>
    <row r="485" ht="15.75" customHeight="1" s="32"/>
    <row r="486" ht="15.75" customHeight="1" s="32"/>
    <row r="487" ht="15.75" customHeight="1" s="32"/>
    <row r="488" ht="15.75" customHeight="1" s="32"/>
    <row r="489" ht="15.75" customHeight="1" s="32"/>
    <row r="490" ht="15.75" customHeight="1" s="32"/>
    <row r="491" ht="15.75" customHeight="1" s="32"/>
    <row r="492" ht="15.75" customHeight="1" s="32"/>
    <row r="493" ht="15.75" customHeight="1" s="32"/>
    <row r="494" ht="15.75" customHeight="1" s="32"/>
    <row r="495" ht="15.75" customHeight="1" s="32"/>
    <row r="496" ht="15.75" customHeight="1" s="32"/>
    <row r="497" ht="15.75" customHeight="1" s="32"/>
    <row r="498" ht="15.75" customHeight="1" s="32"/>
    <row r="499" ht="15.75" customHeight="1" s="32"/>
    <row r="500" ht="15.75" customHeight="1" s="32"/>
    <row r="501" ht="15.75" customHeight="1" s="32"/>
    <row r="502" ht="15.75" customHeight="1" s="32"/>
    <row r="503" ht="15.75" customHeight="1" s="32"/>
    <row r="504" ht="15.75" customHeight="1" s="32"/>
    <row r="505" ht="15.75" customHeight="1" s="32"/>
    <row r="506" ht="15.75" customHeight="1" s="32"/>
    <row r="507" ht="15.75" customHeight="1" s="32"/>
    <row r="508" ht="15.75" customHeight="1" s="32"/>
    <row r="509" ht="15.75" customHeight="1" s="32"/>
    <row r="510" ht="15.75" customHeight="1" s="32"/>
    <row r="511" ht="15.75" customHeight="1" s="32"/>
    <row r="512" ht="15.75" customHeight="1" s="32"/>
    <row r="513" ht="15.75" customHeight="1" s="32"/>
    <row r="514" ht="15.75" customHeight="1" s="32"/>
    <row r="515" ht="15.75" customHeight="1" s="32"/>
    <row r="516" ht="15.75" customHeight="1" s="32"/>
    <row r="517" ht="15.75" customHeight="1" s="32"/>
    <row r="518" ht="15.75" customHeight="1" s="32"/>
    <row r="519" ht="15.75" customHeight="1" s="32"/>
    <row r="520" ht="15.75" customHeight="1" s="32"/>
    <row r="521" ht="15.75" customHeight="1" s="32"/>
    <row r="522" ht="15.75" customHeight="1" s="32"/>
    <row r="523" ht="15.75" customHeight="1" s="32"/>
    <row r="524" ht="15.75" customHeight="1" s="32"/>
    <row r="525" ht="15.75" customHeight="1" s="32"/>
    <row r="526" ht="15.75" customHeight="1" s="32"/>
    <row r="527" ht="15.75" customHeight="1" s="32"/>
    <row r="528" ht="15.75" customHeight="1" s="32"/>
    <row r="529" ht="15.75" customHeight="1" s="32"/>
    <row r="530" ht="15.75" customHeight="1" s="32"/>
    <row r="531" ht="15.75" customHeight="1" s="32"/>
    <row r="532" ht="15.75" customHeight="1" s="32"/>
    <row r="533" ht="15.75" customHeight="1" s="32"/>
    <row r="534" ht="15.75" customHeight="1" s="32"/>
    <row r="535" ht="15.75" customHeight="1" s="32"/>
    <row r="536" ht="15.75" customHeight="1" s="32"/>
    <row r="537" ht="15.75" customHeight="1" s="32"/>
    <row r="538" ht="15.75" customHeight="1" s="32"/>
    <row r="539" ht="15.75" customHeight="1" s="32"/>
    <row r="540" ht="15.75" customHeight="1" s="32"/>
    <row r="541" ht="15.75" customHeight="1" s="32"/>
    <row r="542" ht="15.75" customHeight="1" s="32"/>
    <row r="543" ht="15.75" customHeight="1" s="32"/>
    <row r="544" ht="15.75" customHeight="1" s="32"/>
    <row r="545" ht="15.75" customHeight="1" s="32"/>
    <row r="546" ht="15.75" customHeight="1" s="32"/>
    <row r="547" ht="15.75" customHeight="1" s="32"/>
    <row r="548" ht="15.75" customHeight="1" s="32"/>
    <row r="549" ht="15.75" customHeight="1" s="32"/>
    <row r="550" ht="15.75" customHeight="1" s="32"/>
    <row r="551" ht="15.75" customHeight="1" s="32"/>
    <row r="552" ht="15.75" customHeight="1" s="32"/>
    <row r="553" ht="15.75" customHeight="1" s="32"/>
    <row r="554" ht="15.75" customHeight="1" s="32"/>
    <row r="555" ht="15.75" customHeight="1" s="32"/>
    <row r="556" ht="15.75" customHeight="1" s="32"/>
    <row r="557" ht="15.75" customHeight="1" s="32"/>
    <row r="558" ht="15.75" customHeight="1" s="32"/>
    <row r="559" ht="15.75" customHeight="1" s="32"/>
    <row r="560" ht="15.75" customHeight="1" s="32"/>
    <row r="561" ht="15.75" customHeight="1" s="32"/>
    <row r="562" ht="15.75" customHeight="1" s="32"/>
    <row r="563" ht="15.75" customHeight="1" s="32"/>
    <row r="564" ht="15.75" customHeight="1" s="32"/>
    <row r="565" ht="15.75" customHeight="1" s="32"/>
    <row r="566" ht="15.75" customHeight="1" s="32"/>
    <row r="567" ht="15.75" customHeight="1" s="32"/>
    <row r="568" ht="15.75" customHeight="1" s="32"/>
    <row r="569" ht="15.75" customHeight="1" s="32"/>
    <row r="570" ht="15.75" customHeight="1" s="32"/>
    <row r="571" ht="15.75" customHeight="1" s="32"/>
    <row r="572" ht="15.75" customHeight="1" s="32"/>
    <row r="573" ht="15.75" customHeight="1" s="32"/>
    <row r="574" ht="15.75" customHeight="1" s="32"/>
    <row r="575" ht="15.75" customHeight="1" s="32"/>
    <row r="576" ht="15.75" customHeight="1" s="32"/>
    <row r="577" ht="15.75" customHeight="1" s="32"/>
    <row r="578" ht="15.75" customHeight="1" s="32"/>
    <row r="579" ht="15.75" customHeight="1" s="32"/>
    <row r="580" ht="15.75" customHeight="1" s="32"/>
    <row r="581" ht="15.75" customHeight="1" s="32"/>
    <row r="582" ht="15.75" customHeight="1" s="32"/>
    <row r="583" ht="15.75" customHeight="1" s="32"/>
    <row r="584" ht="15.75" customHeight="1" s="32"/>
    <row r="585" ht="15.75" customHeight="1" s="32"/>
    <row r="586" ht="15.75" customHeight="1" s="32"/>
    <row r="587" ht="15.75" customHeight="1" s="32"/>
    <row r="588" ht="15.75" customHeight="1" s="32"/>
    <row r="589" ht="15.75" customHeight="1" s="32"/>
    <row r="590" ht="15.75" customHeight="1" s="32"/>
    <row r="591" ht="15.75" customHeight="1" s="32"/>
    <row r="592" ht="15.75" customHeight="1" s="32"/>
    <row r="593" ht="15.75" customHeight="1" s="32"/>
    <row r="594" ht="15.75" customHeight="1" s="32"/>
    <row r="595" ht="15.75" customHeight="1" s="32"/>
    <row r="596" ht="15.75" customHeight="1" s="32"/>
    <row r="597" ht="15.75" customHeight="1" s="32"/>
    <row r="598" ht="15.75" customHeight="1" s="32"/>
    <row r="599" ht="15.75" customHeight="1" s="32"/>
    <row r="600" ht="15.75" customHeight="1" s="32"/>
    <row r="601" ht="15.75" customHeight="1" s="32"/>
    <row r="602" ht="15.75" customHeight="1" s="32"/>
    <row r="603" ht="15.75" customHeight="1" s="32"/>
    <row r="604" ht="15.75" customHeight="1" s="32"/>
    <row r="605" ht="15.75" customHeight="1" s="32"/>
    <row r="606" ht="15.75" customHeight="1" s="32"/>
    <row r="607" ht="15.75" customHeight="1" s="32"/>
    <row r="608" ht="15.75" customHeight="1" s="32"/>
    <row r="609" ht="15.75" customHeight="1" s="32"/>
    <row r="610" ht="15.75" customHeight="1" s="32"/>
    <row r="611" ht="15.75" customHeight="1" s="32"/>
    <row r="612" ht="15.75" customHeight="1" s="32"/>
    <row r="613" ht="15.75" customHeight="1" s="32"/>
    <row r="614" ht="15.75" customHeight="1" s="32"/>
    <row r="615" ht="15.75" customHeight="1" s="32"/>
    <row r="616" ht="15.75" customHeight="1" s="32"/>
    <row r="617" ht="15.75" customHeight="1" s="32"/>
    <row r="618" ht="15.75" customHeight="1" s="32"/>
    <row r="619" ht="15.75" customHeight="1" s="32"/>
    <row r="620" ht="15.75" customHeight="1" s="32"/>
    <row r="621" ht="15.75" customHeight="1" s="32"/>
    <row r="622" ht="15.75" customHeight="1" s="32"/>
    <row r="623" ht="15.75" customHeight="1" s="32"/>
    <row r="624" ht="15.75" customHeight="1" s="32"/>
    <row r="625" ht="15.75" customHeight="1" s="32"/>
    <row r="626" ht="15.75" customHeight="1" s="32"/>
    <row r="627" ht="15.75" customHeight="1" s="32"/>
    <row r="628" ht="15.75" customHeight="1" s="32"/>
    <row r="629" ht="15.75" customHeight="1" s="32"/>
    <row r="630" ht="15.75" customHeight="1" s="32"/>
    <row r="631" ht="15.75" customHeight="1" s="32"/>
    <row r="632" ht="15.75" customHeight="1" s="32"/>
    <row r="633" ht="15.75" customHeight="1" s="32"/>
    <row r="634" ht="15.75" customHeight="1" s="32"/>
    <row r="635" ht="15.75" customHeight="1" s="32"/>
    <row r="636" ht="15.75" customHeight="1" s="32"/>
    <row r="637" ht="15.75" customHeight="1" s="32"/>
    <row r="638" ht="15.75" customHeight="1" s="32"/>
    <row r="639" ht="15.75" customHeight="1" s="32"/>
    <row r="640" ht="15.75" customHeight="1" s="32"/>
    <row r="641" ht="15.75" customHeight="1" s="32"/>
    <row r="642" ht="15.75" customHeight="1" s="32"/>
    <row r="643" ht="15.75" customHeight="1" s="32"/>
    <row r="644" ht="15.75" customHeight="1" s="32"/>
    <row r="645" ht="15.75" customHeight="1" s="32"/>
    <row r="646" ht="15.75" customHeight="1" s="32"/>
    <row r="647" ht="15.75" customHeight="1" s="32"/>
    <row r="648" ht="15.75" customHeight="1" s="32"/>
    <row r="649" ht="15.75" customHeight="1" s="32"/>
    <row r="650" ht="15.75" customHeight="1" s="32"/>
    <row r="651" ht="15.75" customHeight="1" s="32"/>
    <row r="652" ht="15.75" customHeight="1" s="32"/>
    <row r="653" ht="15.75" customHeight="1" s="32"/>
    <row r="654" ht="15.75" customHeight="1" s="32"/>
    <row r="655" ht="15.75" customHeight="1" s="32"/>
    <row r="656" ht="15.75" customHeight="1" s="32"/>
    <row r="657" ht="15.75" customHeight="1" s="32"/>
    <row r="658" ht="15.75" customHeight="1" s="32"/>
    <row r="659" ht="15.75" customHeight="1" s="32"/>
    <row r="660" ht="15.75" customHeight="1" s="32"/>
    <row r="661" ht="15.75" customHeight="1" s="32"/>
    <row r="662" ht="15.75" customHeight="1" s="32"/>
    <row r="663" ht="15.75" customHeight="1" s="32"/>
    <row r="664" ht="15.75" customHeight="1" s="32"/>
    <row r="665" ht="15.75" customHeight="1" s="32"/>
    <row r="666" ht="15.75" customHeight="1" s="32"/>
    <row r="667" ht="15.75" customHeight="1" s="32"/>
    <row r="668" ht="15.75" customHeight="1" s="32"/>
    <row r="669" ht="15.75" customHeight="1" s="32"/>
    <row r="670" ht="15.75" customHeight="1" s="32"/>
    <row r="671" ht="15.75" customHeight="1" s="32"/>
    <row r="672" ht="15.75" customHeight="1" s="32"/>
    <row r="673" ht="15.75" customHeight="1" s="32"/>
    <row r="674" ht="15.75" customHeight="1" s="32"/>
    <row r="675" ht="15.75" customHeight="1" s="32"/>
    <row r="676" ht="15.75" customHeight="1" s="32"/>
    <row r="677" ht="15.75" customHeight="1" s="32"/>
    <row r="678" ht="15.75" customHeight="1" s="32"/>
    <row r="679" ht="15.75" customHeight="1" s="32"/>
    <row r="680" ht="15.75" customHeight="1" s="32"/>
    <row r="681" ht="15.75" customHeight="1" s="32"/>
    <row r="682" ht="15.75" customHeight="1" s="32"/>
    <row r="683" ht="15.75" customHeight="1" s="32"/>
    <row r="684" ht="15.75" customHeight="1" s="32"/>
    <row r="685" ht="15.75" customHeight="1" s="32"/>
    <row r="686" ht="15.75" customHeight="1" s="32"/>
    <row r="687" ht="15.75" customHeight="1" s="32"/>
    <row r="688" ht="15.75" customHeight="1" s="32"/>
    <row r="689" ht="15.75" customHeight="1" s="32"/>
    <row r="690" ht="15.75" customHeight="1" s="32"/>
    <row r="691" ht="15.75" customHeight="1" s="32"/>
    <row r="692" ht="15.75" customHeight="1" s="32"/>
    <row r="693" ht="15.75" customHeight="1" s="32"/>
    <row r="694" ht="15.75" customHeight="1" s="32"/>
    <row r="695" ht="15.75" customHeight="1" s="32"/>
    <row r="696" ht="15.75" customHeight="1" s="32"/>
    <row r="697" ht="15.75" customHeight="1" s="32"/>
    <row r="698" ht="15.75" customHeight="1" s="32"/>
    <row r="699" ht="15.75" customHeight="1" s="32"/>
    <row r="700" ht="15.75" customHeight="1" s="32"/>
    <row r="701" ht="15.75" customHeight="1" s="32"/>
    <row r="702" ht="15.75" customHeight="1" s="32"/>
    <row r="703" ht="15.75" customHeight="1" s="32"/>
    <row r="704" ht="15.75" customHeight="1" s="32"/>
    <row r="705" ht="15.75" customHeight="1" s="32"/>
    <row r="706" ht="15.75" customHeight="1" s="32"/>
    <row r="707" ht="15.75" customHeight="1" s="32"/>
    <row r="708" ht="15.75" customHeight="1" s="32"/>
    <row r="709" ht="15.75" customHeight="1" s="32"/>
    <row r="710" ht="15.75" customHeight="1" s="32"/>
    <row r="711" ht="15.75" customHeight="1" s="32"/>
    <row r="712" ht="15.75" customHeight="1" s="32"/>
    <row r="713" ht="15.75" customHeight="1" s="32"/>
    <row r="714" ht="15.75" customHeight="1" s="32"/>
    <row r="715" ht="15.75" customHeight="1" s="32"/>
    <row r="716" ht="15.75" customHeight="1" s="32"/>
    <row r="717" ht="15.75" customHeight="1" s="32"/>
    <row r="718" ht="15.75" customHeight="1" s="32"/>
    <row r="719" ht="15.75" customHeight="1" s="32"/>
    <row r="720" ht="15.75" customHeight="1" s="32"/>
    <row r="721" ht="15.75" customHeight="1" s="32"/>
    <row r="722" ht="15.75" customHeight="1" s="32"/>
    <row r="723" ht="15.75" customHeight="1" s="32"/>
    <row r="724" ht="15.75" customHeight="1" s="32"/>
    <row r="725" ht="15.75" customHeight="1" s="32"/>
    <row r="726" ht="15.75" customHeight="1" s="32"/>
    <row r="727" ht="15.75" customHeight="1" s="32"/>
    <row r="728" ht="15.75" customHeight="1" s="32"/>
    <row r="729" ht="15.75" customHeight="1" s="32"/>
    <row r="730" ht="15.75" customHeight="1" s="32"/>
    <row r="731" ht="15.75" customHeight="1" s="32"/>
    <row r="732" ht="15.75" customHeight="1" s="32"/>
    <row r="733" ht="15.75" customHeight="1" s="32"/>
    <row r="734" ht="15.75" customHeight="1" s="32"/>
    <row r="735" ht="15.75" customHeight="1" s="32"/>
    <row r="736" ht="15.75" customHeight="1" s="32"/>
    <row r="737" ht="15.75" customHeight="1" s="32"/>
    <row r="738" ht="15.75" customHeight="1" s="32"/>
    <row r="739" ht="15.75" customHeight="1" s="32"/>
    <row r="740" ht="15.75" customHeight="1" s="32"/>
    <row r="741" ht="15.75" customHeight="1" s="32"/>
    <row r="742" ht="15.75" customHeight="1" s="32"/>
    <row r="743" ht="15.75" customHeight="1" s="32"/>
    <row r="744" ht="15.75" customHeight="1" s="32"/>
    <row r="745" ht="15.75" customHeight="1" s="32"/>
    <row r="746" ht="15.75" customHeight="1" s="32"/>
    <row r="747" ht="15.75" customHeight="1" s="32"/>
    <row r="748" ht="15.75" customHeight="1" s="32"/>
    <row r="749" ht="15.75" customHeight="1" s="32"/>
    <row r="750" ht="15.75" customHeight="1" s="32"/>
    <row r="751" ht="15.75" customHeight="1" s="32"/>
    <row r="752" ht="15.75" customHeight="1" s="32"/>
    <row r="753" ht="15.75" customHeight="1" s="32"/>
    <row r="754" ht="15.75" customHeight="1" s="32"/>
    <row r="755" ht="15.75" customHeight="1" s="32"/>
    <row r="756" ht="15.75" customHeight="1" s="32"/>
    <row r="757" ht="15.75" customHeight="1" s="32"/>
    <row r="758" ht="15.75" customHeight="1" s="32"/>
    <row r="759" ht="15.75" customHeight="1" s="32"/>
    <row r="760" ht="15.75" customHeight="1" s="32"/>
    <row r="761" ht="15.75" customHeight="1" s="32"/>
    <row r="762" ht="15.75" customHeight="1" s="32"/>
    <row r="763" ht="15.75" customHeight="1" s="32"/>
    <row r="764" ht="15.75" customHeight="1" s="32"/>
    <row r="765" ht="15.75" customHeight="1" s="32"/>
    <row r="766" ht="15.75" customHeight="1" s="32"/>
    <row r="767" ht="15.75" customHeight="1" s="32"/>
    <row r="768" ht="15.75" customHeight="1" s="32"/>
    <row r="769" ht="15.75" customHeight="1" s="32"/>
    <row r="770" ht="15.75" customHeight="1" s="32"/>
    <row r="771" ht="15.75" customHeight="1" s="32"/>
    <row r="772" ht="15.75" customHeight="1" s="32"/>
    <row r="773" ht="15.75" customHeight="1" s="32"/>
    <row r="774" ht="15.75" customHeight="1" s="32"/>
    <row r="775" ht="15.75" customHeight="1" s="32"/>
    <row r="776" ht="15.75" customHeight="1" s="32"/>
    <row r="777" ht="15.75" customHeight="1" s="32"/>
    <row r="778" ht="15.75" customHeight="1" s="32"/>
    <row r="779" ht="15.75" customHeight="1" s="32"/>
    <row r="780" ht="15.75" customHeight="1" s="32"/>
    <row r="781" ht="15.75" customHeight="1" s="32"/>
    <row r="782" ht="15.75" customHeight="1" s="32"/>
    <row r="783" ht="15.75" customHeight="1" s="32"/>
    <row r="784" ht="15.75" customHeight="1" s="32"/>
    <row r="785" ht="15.75" customHeight="1" s="32"/>
    <row r="786" ht="15.75" customHeight="1" s="32"/>
    <row r="787" ht="15.75" customHeight="1" s="32"/>
    <row r="788" ht="15.75" customHeight="1" s="32"/>
    <row r="789" ht="15.75" customHeight="1" s="32"/>
    <row r="790" ht="15.75" customHeight="1" s="32"/>
    <row r="791" ht="15.75" customHeight="1" s="32"/>
    <row r="792" ht="15.75" customHeight="1" s="32"/>
    <row r="793" ht="15.75" customHeight="1" s="32"/>
    <row r="794" ht="15.75" customHeight="1" s="32"/>
    <row r="795" ht="15.75" customHeight="1" s="32"/>
    <row r="796" ht="15.75" customHeight="1" s="32"/>
    <row r="797" ht="15.75" customHeight="1" s="32"/>
    <row r="798" ht="15.75" customHeight="1" s="32"/>
    <row r="799" ht="15.75" customHeight="1" s="32"/>
    <row r="800" ht="15.75" customHeight="1" s="32"/>
    <row r="801" ht="15.75" customHeight="1" s="32"/>
    <row r="802" ht="15.75" customHeight="1" s="32"/>
    <row r="803" ht="15.75" customHeight="1" s="32"/>
    <row r="804" ht="15.75" customHeight="1" s="32"/>
    <row r="805" ht="15.75" customHeight="1" s="32"/>
    <row r="806" ht="15.75" customHeight="1" s="32"/>
    <row r="807" ht="15.75" customHeight="1" s="32"/>
    <row r="808" ht="15.75" customHeight="1" s="32"/>
    <row r="809" ht="15.75" customHeight="1" s="32"/>
    <row r="810" ht="15.75" customHeight="1" s="32"/>
    <row r="811" ht="15.75" customHeight="1" s="32"/>
    <row r="812" ht="15.75" customHeight="1" s="32"/>
    <row r="813" ht="15.75" customHeight="1" s="32"/>
    <row r="814" ht="15.75" customHeight="1" s="32"/>
    <row r="815" ht="15.75" customHeight="1" s="32"/>
    <row r="816" ht="15.75" customHeight="1" s="32"/>
    <row r="817" ht="15.75" customHeight="1" s="32"/>
    <row r="818" ht="15.75" customHeight="1" s="32"/>
    <row r="819" ht="15.75" customHeight="1" s="32"/>
    <row r="820" ht="15.75" customHeight="1" s="32"/>
    <row r="821" ht="15.75" customHeight="1" s="32"/>
    <row r="822" ht="15.75" customHeight="1" s="32"/>
    <row r="823" ht="15.75" customHeight="1" s="32"/>
    <row r="824" ht="15.75" customHeight="1" s="32"/>
    <row r="825" ht="15.75" customHeight="1" s="32"/>
    <row r="826" ht="15.75" customHeight="1" s="32"/>
    <row r="827" ht="15.75" customHeight="1" s="32"/>
    <row r="828" ht="15.75" customHeight="1" s="32"/>
    <row r="829" ht="15.75" customHeight="1" s="32"/>
    <row r="830" ht="15.75" customHeight="1" s="32"/>
    <row r="831" ht="15.75" customHeight="1" s="32"/>
    <row r="832" ht="15.75" customHeight="1" s="32"/>
    <row r="833" ht="15.75" customHeight="1" s="32"/>
    <row r="834" ht="15.75" customHeight="1" s="32"/>
    <row r="835" ht="15.75" customHeight="1" s="32"/>
    <row r="836" ht="15.75" customHeight="1" s="32"/>
    <row r="837" ht="15.75" customHeight="1" s="32"/>
    <row r="838" ht="15.75" customHeight="1" s="32"/>
    <row r="839" ht="15.75" customHeight="1" s="32"/>
    <row r="840" ht="15.75" customHeight="1" s="32"/>
    <row r="841" ht="15.75" customHeight="1" s="32"/>
    <row r="842" ht="15.75" customHeight="1" s="32"/>
    <row r="843" ht="15.75" customHeight="1" s="32"/>
    <row r="844" ht="15.75" customHeight="1" s="32"/>
    <row r="845" ht="15.75" customHeight="1" s="32"/>
    <row r="846" ht="15.75" customHeight="1" s="32"/>
    <row r="847" ht="15.75" customHeight="1" s="32"/>
    <row r="848" ht="15.75" customHeight="1" s="32"/>
    <row r="849" ht="15.75" customHeight="1" s="32"/>
    <row r="850" ht="15.75" customHeight="1" s="32"/>
    <row r="851" ht="15.75" customHeight="1" s="32"/>
    <row r="852" ht="15.75" customHeight="1" s="32"/>
    <row r="853" ht="15.75" customHeight="1" s="32"/>
    <row r="854" ht="15.75" customHeight="1" s="32"/>
    <row r="855" ht="15.75" customHeight="1" s="32"/>
    <row r="856" ht="15.75" customHeight="1" s="32"/>
    <row r="857" ht="15.75" customHeight="1" s="32"/>
    <row r="858" ht="15.75" customHeight="1" s="32"/>
    <row r="859" ht="15.75" customHeight="1" s="32"/>
    <row r="860" ht="15.75" customHeight="1" s="32"/>
    <row r="861" ht="15.75" customHeight="1" s="32"/>
    <row r="862" ht="15.75" customHeight="1" s="32"/>
    <row r="863" ht="15.75" customHeight="1" s="32"/>
    <row r="864" ht="15.75" customHeight="1" s="32"/>
    <row r="865" ht="15.75" customHeight="1" s="32"/>
    <row r="866" ht="15.75" customHeight="1" s="32"/>
    <row r="867" ht="15.75" customHeight="1" s="32"/>
    <row r="868" ht="15.75" customHeight="1" s="32"/>
    <row r="869" ht="15.75" customHeight="1" s="32"/>
    <row r="870" ht="15.75" customHeight="1" s="32"/>
    <row r="871" ht="15.75" customHeight="1" s="32"/>
    <row r="872" ht="15.75" customHeight="1" s="32"/>
    <row r="873" ht="15.75" customHeight="1" s="32"/>
    <row r="874" ht="15.75" customHeight="1" s="32"/>
    <row r="875" ht="15.75" customHeight="1" s="32"/>
    <row r="876" ht="15.75" customHeight="1" s="32"/>
    <row r="877" ht="15.75" customHeight="1" s="32"/>
    <row r="878" ht="15.75" customHeight="1" s="32"/>
    <row r="879" ht="15.75" customHeight="1" s="32"/>
    <row r="880" ht="15.75" customHeight="1" s="32"/>
    <row r="881" ht="15.75" customHeight="1" s="32"/>
    <row r="882" ht="15.75" customHeight="1" s="32"/>
    <row r="883" ht="15.75" customHeight="1" s="32"/>
    <row r="884" ht="15.75" customHeight="1" s="32"/>
    <row r="885" ht="15.75" customHeight="1" s="32"/>
    <row r="886" ht="15.75" customHeight="1" s="32"/>
    <row r="887" ht="15.75" customHeight="1" s="32"/>
    <row r="888" ht="15.75" customHeight="1" s="32"/>
    <row r="889" ht="15.75" customHeight="1" s="32"/>
    <row r="890" ht="15.75" customHeight="1" s="32"/>
    <row r="891" ht="15.75" customHeight="1" s="32"/>
    <row r="892" ht="15.75" customHeight="1" s="32"/>
    <row r="893" ht="15.75" customHeight="1" s="32"/>
    <row r="894" ht="15.75" customHeight="1" s="32"/>
    <row r="895" ht="15.75" customHeight="1" s="32"/>
    <row r="896" ht="15.75" customHeight="1" s="32"/>
    <row r="897" ht="15.75" customHeight="1" s="32"/>
    <row r="898" ht="15.75" customHeight="1" s="32"/>
    <row r="899" ht="15.75" customHeight="1" s="32"/>
    <row r="900" ht="15.75" customHeight="1" s="32"/>
    <row r="901" ht="15.75" customHeight="1" s="32"/>
    <row r="902" ht="15.75" customHeight="1" s="32"/>
    <row r="903" ht="15.75" customHeight="1" s="32"/>
    <row r="904" ht="15.75" customHeight="1" s="32"/>
    <row r="905" ht="15.75" customHeight="1" s="32"/>
    <row r="906" ht="15.75" customHeight="1" s="32"/>
    <row r="907" ht="15.75" customHeight="1" s="32"/>
    <row r="908" ht="15.75" customHeight="1" s="32"/>
    <row r="909" ht="15.75" customHeight="1" s="32"/>
    <row r="910" ht="15.75" customHeight="1" s="32"/>
    <row r="911" ht="15.75" customHeight="1" s="32"/>
    <row r="912" ht="15.75" customHeight="1" s="32"/>
    <row r="913" ht="15.75" customHeight="1" s="32"/>
    <row r="914" ht="15.75" customHeight="1" s="32"/>
    <row r="915" ht="15.75" customHeight="1" s="32"/>
    <row r="916" ht="15.75" customHeight="1" s="32"/>
    <row r="917" ht="15.75" customHeight="1" s="32"/>
    <row r="918" ht="15.75" customHeight="1" s="32"/>
    <row r="919" ht="15.75" customHeight="1" s="32"/>
    <row r="920" ht="15.75" customHeight="1" s="32"/>
    <row r="921" ht="15.75" customHeight="1" s="32"/>
    <row r="922" ht="15.75" customHeight="1" s="32"/>
    <row r="923" ht="15.75" customHeight="1" s="32"/>
    <row r="924" ht="15.75" customHeight="1" s="32"/>
    <row r="925" ht="15.75" customHeight="1" s="32"/>
    <row r="926" ht="15.75" customHeight="1" s="32"/>
    <row r="927" ht="15.75" customHeight="1" s="32"/>
    <row r="928" ht="15.75" customHeight="1" s="32"/>
    <row r="929" ht="15.75" customHeight="1" s="32"/>
    <row r="930" ht="15.75" customHeight="1" s="32"/>
    <row r="931" ht="15.75" customHeight="1" s="32"/>
    <row r="932" ht="15.75" customHeight="1" s="32"/>
    <row r="933" ht="15.75" customHeight="1" s="32"/>
    <row r="934" ht="15.75" customHeight="1" s="32"/>
    <row r="935" ht="15.75" customHeight="1" s="32"/>
    <row r="936" ht="15.75" customHeight="1" s="32"/>
    <row r="937" ht="15.75" customHeight="1" s="32"/>
    <row r="938" ht="15.75" customHeight="1" s="32"/>
    <row r="939" ht="15.75" customHeight="1" s="32"/>
    <row r="940" ht="15.75" customHeight="1" s="32"/>
    <row r="941" ht="15.75" customHeight="1" s="32"/>
    <row r="942" ht="15.75" customHeight="1" s="32"/>
    <row r="943" ht="15.75" customHeight="1" s="32"/>
    <row r="944" ht="15.75" customHeight="1" s="32"/>
    <row r="945" ht="15.75" customHeight="1" s="32"/>
    <row r="946" ht="15.75" customHeight="1" s="32"/>
    <row r="947" ht="15.75" customHeight="1" s="32"/>
    <row r="948" ht="15.75" customHeight="1" s="32"/>
    <row r="949" ht="15.75" customHeight="1" s="32"/>
    <row r="950" ht="15.75" customHeight="1" s="32"/>
    <row r="951" ht="15.75" customHeight="1" s="32"/>
    <row r="952" ht="15.75" customHeight="1" s="32"/>
    <row r="953" ht="15.75" customHeight="1" s="32"/>
    <row r="954" ht="15.75" customHeight="1" s="32"/>
    <row r="955" ht="15.75" customHeight="1" s="32"/>
    <row r="956" ht="15.75" customHeight="1" s="32"/>
    <row r="957" ht="15.75" customHeight="1" s="32"/>
    <row r="958" ht="15.75" customHeight="1" s="32"/>
    <row r="959" ht="15.75" customHeight="1" s="32"/>
    <row r="960" ht="15.75" customHeight="1" s="32"/>
    <row r="961" ht="15.75" customHeight="1" s="32"/>
    <row r="962" ht="15.75" customHeight="1" s="32"/>
    <row r="963" ht="15.75" customHeight="1" s="32"/>
    <row r="964" ht="15.75" customHeight="1" s="32"/>
    <row r="965" ht="15.75" customHeight="1" s="32"/>
    <row r="966" ht="15.75" customHeight="1" s="32"/>
    <row r="967" ht="15.75" customHeight="1" s="32"/>
    <row r="968" ht="15.75" customHeight="1" s="32"/>
    <row r="969" ht="15.75" customHeight="1" s="32"/>
    <row r="970" ht="15.75" customHeight="1" s="32"/>
    <row r="971" ht="15.75" customHeight="1" s="32"/>
    <row r="972" ht="15.75" customHeight="1" s="32"/>
    <row r="973" ht="15.75" customHeight="1" s="32"/>
    <row r="974" ht="15.75" customHeight="1" s="32"/>
    <row r="975" ht="15.75" customHeight="1" s="32"/>
    <row r="976" ht="15.75" customHeight="1" s="32"/>
    <row r="977" ht="15.75" customHeight="1" s="32"/>
    <row r="978" ht="15.75" customHeight="1" s="32"/>
    <row r="979" ht="15.75" customHeight="1" s="32"/>
    <row r="980" ht="15.75" customHeight="1" s="32"/>
    <row r="981" ht="15.75" customHeight="1" s="32"/>
    <row r="982" ht="15.75" customHeight="1" s="32"/>
    <row r="983" ht="15.75" customHeight="1" s="32"/>
    <row r="984" ht="15.75" customHeight="1" s="32"/>
    <row r="985" ht="15.75" customHeight="1" s="32"/>
    <row r="986" ht="15.75" customHeight="1" s="32"/>
    <row r="987" ht="15.75" customHeight="1" s="32"/>
    <row r="988" ht="15.75" customHeight="1" s="32"/>
    <row r="989" ht="15.75" customHeight="1" s="32"/>
    <row r="990" ht="15.75" customHeight="1" s="32"/>
    <row r="991" ht="15.75" customHeight="1" s="32"/>
    <row r="992" ht="15.75" customHeight="1" s="32"/>
    <row r="993" ht="15.75" customHeight="1" s="32"/>
    <row r="994" ht="15.75" customHeight="1" s="32"/>
    <row r="995" ht="15.75" customHeight="1" s="32"/>
    <row r="996" ht="15.75" customHeight="1" s="32"/>
    <row r="997" ht="15.75" customHeight="1" s="32"/>
    <row r="998" ht="15.75" customHeight="1" s="32"/>
    <row r="999" ht="15.75" customHeight="1" s="32"/>
    <row r="1000" ht="15.75" customHeight="1" s="32"/>
  </sheetData>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Y20"/>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104" customWidth="1" style="32" min="1" max="1"/>
    <col width="11" customWidth="1" style="32" min="2" max="25"/>
    <col width="8.710000000000001" customWidth="1" style="32" min="26" max="26"/>
  </cols>
  <sheetData>
    <row r="1">
      <c r="A1" s="1" t="inlineStr">
        <is>
          <t>Proyección mensual — La Esquina (24 meses, peor escenario: 148 estantes, solo cuotas)</t>
        </is>
      </c>
    </row>
    <row r="2"/>
    <row r="3">
      <c r="A3" s="2" t="inlineStr">
        <is>
          <t>Mes</t>
        </is>
      </c>
      <c r="B3" s="2" t="n">
        <v>1</v>
      </c>
      <c r="C3" s="2" t="n">
        <v>2</v>
      </c>
      <c r="D3" s="2" t="n">
        <v>3</v>
      </c>
      <c r="E3" s="2" t="n">
        <v>4</v>
      </c>
      <c r="F3" s="2" t="n">
        <v>5</v>
      </c>
      <c r="G3" s="2" t="n">
        <v>6</v>
      </c>
      <c r="H3" s="2" t="n">
        <v>7</v>
      </c>
      <c r="I3" s="2" t="n">
        <v>8</v>
      </c>
      <c r="J3" s="2" t="n">
        <v>9</v>
      </c>
      <c r="K3" s="2" t="n">
        <v>10</v>
      </c>
      <c r="L3" s="2" t="n">
        <v>11</v>
      </c>
      <c r="M3" s="2" t="n">
        <v>12</v>
      </c>
      <c r="N3" s="2" t="n">
        <v>13</v>
      </c>
      <c r="O3" s="2" t="n">
        <v>14</v>
      </c>
      <c r="P3" s="2" t="n">
        <v>15</v>
      </c>
      <c r="Q3" s="2" t="n">
        <v>16</v>
      </c>
      <c r="R3" s="2" t="n">
        <v>17</v>
      </c>
      <c r="S3" s="2" t="n">
        <v>18</v>
      </c>
      <c r="T3" s="2" t="n">
        <v>19</v>
      </c>
      <c r="U3" s="2" t="n">
        <v>20</v>
      </c>
      <c r="V3" s="2" t="n">
        <v>21</v>
      </c>
      <c r="W3" s="2" t="n">
        <v>22</v>
      </c>
      <c r="X3" s="2" t="n">
        <v>23</v>
      </c>
      <c r="Y3" s="2" t="n">
        <v>24</v>
      </c>
    </row>
    <row r="4">
      <c r="A4" s="2" t="inlineStr">
        <is>
          <t>Estantes ocupados (pagando)</t>
        </is>
      </c>
      <c r="B4" s="9">
        <f>Supuestos!$B$8</f>
        <v/>
      </c>
      <c r="C4" s="9">
        <f>B4</f>
        <v/>
      </c>
      <c r="D4" s="9">
        <f>C4</f>
        <v/>
      </c>
      <c r="E4" s="9">
        <f>D4</f>
        <v/>
      </c>
      <c r="F4" s="9">
        <f>E4</f>
        <v/>
      </c>
      <c r="G4" s="9">
        <f>F4</f>
        <v/>
      </c>
      <c r="H4" s="9">
        <f>G4</f>
        <v/>
      </c>
      <c r="I4" s="9">
        <f>H4</f>
        <v/>
      </c>
      <c r="J4" s="9">
        <f>I4</f>
        <v/>
      </c>
      <c r="K4" s="9">
        <f>J4</f>
        <v/>
      </c>
      <c r="L4" s="9">
        <f>K4</f>
        <v/>
      </c>
      <c r="M4" s="9">
        <f>L4</f>
        <v/>
      </c>
      <c r="N4" s="9">
        <f>ROUND(M4*Supuestos!$B$15,0)</f>
        <v/>
      </c>
      <c r="O4" s="9">
        <f>MIN(Supuestos!$B$6,N4+Supuestos!$B$16)</f>
        <v/>
      </c>
      <c r="P4" s="9">
        <f>MIN(Supuestos!$B$6,O4+Supuestos!$B$16)</f>
        <v/>
      </c>
      <c r="Q4" s="9">
        <f>MIN(Supuestos!$B$6,P4+Supuestos!$B$16)</f>
        <v/>
      </c>
      <c r="R4" s="9">
        <f>MIN(Supuestos!$B$6,Q4+Supuestos!$B$16)</f>
        <v/>
      </c>
      <c r="S4" s="9">
        <f>MIN(Supuestos!$B$6,R4+Supuestos!$B$16)</f>
        <v/>
      </c>
      <c r="T4" s="9">
        <f>MIN(Supuestos!$B$6,S4+Supuestos!$B$16)</f>
        <v/>
      </c>
      <c r="U4" s="9">
        <f>MIN(Supuestos!$B$6,T4+Supuestos!$B$16)</f>
        <v/>
      </c>
      <c r="V4" s="9">
        <f>MIN(Supuestos!$B$6,U4+Supuestos!$B$16)</f>
        <v/>
      </c>
      <c r="W4" s="9">
        <f>MIN(Supuestos!$B$6,V4+Supuestos!$B$16)</f>
        <v/>
      </c>
      <c r="X4" s="9">
        <f>MIN(Supuestos!$B$6,W4+Supuestos!$B$16)</f>
        <v/>
      </c>
      <c r="Y4" s="9">
        <f>MIN(Supuestos!$B$6,X4+Supuestos!$B$16)</f>
        <v/>
      </c>
    </row>
    <row r="5">
      <c r="A5" s="2" t="inlineStr">
        <is>
          <t>Ingreso por cuotas (USD)</t>
        </is>
      </c>
      <c r="B5" s="16">
        <f>B4*Supuestos!$B$9</f>
        <v/>
      </c>
      <c r="C5" s="16">
        <f>C4*Supuestos!$B$9</f>
        <v/>
      </c>
      <c r="D5" s="16">
        <f>D4*Supuestos!$B$9</f>
        <v/>
      </c>
      <c r="E5" s="16">
        <f>E4*Supuestos!$B$9</f>
        <v/>
      </c>
      <c r="F5" s="16">
        <f>F4*Supuestos!$B$9</f>
        <v/>
      </c>
      <c r="G5" s="16">
        <f>G4*Supuestos!$B$9</f>
        <v/>
      </c>
      <c r="H5" s="16">
        <f>H4*Supuestos!$B$9</f>
        <v/>
      </c>
      <c r="I5" s="16">
        <f>I4*Supuestos!$B$9</f>
        <v/>
      </c>
      <c r="J5" s="16">
        <f>J4*Supuestos!$B$9</f>
        <v/>
      </c>
      <c r="K5" s="16">
        <f>K4*Supuestos!$B$9</f>
        <v/>
      </c>
      <c r="L5" s="16">
        <f>L4*Supuestos!$B$9</f>
        <v/>
      </c>
      <c r="M5" s="16">
        <f>M4*Supuestos!$B$9</f>
        <v/>
      </c>
      <c r="N5" s="16">
        <f>N4*Supuestos!$B$9</f>
        <v/>
      </c>
      <c r="O5" s="16">
        <f>O4*Supuestos!$B$9</f>
        <v/>
      </c>
      <c r="P5" s="16">
        <f>P4*Supuestos!$B$9</f>
        <v/>
      </c>
      <c r="Q5" s="16">
        <f>Q4*Supuestos!$B$9</f>
        <v/>
      </c>
      <c r="R5" s="16">
        <f>R4*Supuestos!$B$9</f>
        <v/>
      </c>
      <c r="S5" s="16">
        <f>S4*Supuestos!$B$9</f>
        <v/>
      </c>
      <c r="T5" s="16">
        <f>T4*Supuestos!$B$9</f>
        <v/>
      </c>
      <c r="U5" s="16">
        <f>U4*Supuestos!$B$9</f>
        <v/>
      </c>
      <c r="V5" s="16">
        <f>V4*Supuestos!$B$9</f>
        <v/>
      </c>
      <c r="W5" s="16">
        <f>W4*Supuestos!$B$9</f>
        <v/>
      </c>
      <c r="X5" s="16">
        <f>X4*Supuestos!$B$9</f>
        <v/>
      </c>
      <c r="Y5" s="16">
        <f>Y4*Supuestos!$B$9</f>
        <v/>
      </c>
    </row>
    <row r="6">
      <c r="A6" s="2" t="inlineStr">
        <is>
          <t>Costos fijos totales (USD, sin inflación)</t>
        </is>
      </c>
      <c r="B6" s="16">
        <f>Supuestos!$B$37</f>
        <v/>
      </c>
      <c r="C6" s="16">
        <f>Supuestos!$B$37</f>
        <v/>
      </c>
      <c r="D6" s="16">
        <f>Supuestos!$B$37</f>
        <v/>
      </c>
      <c r="E6" s="16">
        <f>Supuestos!$B$37</f>
        <v/>
      </c>
      <c r="F6" s="16">
        <f>Supuestos!$B$37</f>
        <v/>
      </c>
      <c r="G6" s="16">
        <f>Supuestos!$B$37</f>
        <v/>
      </c>
      <c r="H6" s="16">
        <f>Supuestos!$B$37</f>
        <v/>
      </c>
      <c r="I6" s="16">
        <f>Supuestos!$B$37</f>
        <v/>
      </c>
      <c r="J6" s="16">
        <f>Supuestos!$B$37</f>
        <v/>
      </c>
      <c r="K6" s="16">
        <f>Supuestos!$B$37</f>
        <v/>
      </c>
      <c r="L6" s="16">
        <f>Supuestos!$B$37</f>
        <v/>
      </c>
      <c r="M6" s="16">
        <f>Supuestos!$B$37</f>
        <v/>
      </c>
      <c r="N6" s="16">
        <f>Supuestos!$B$37</f>
        <v/>
      </c>
      <c r="O6" s="16">
        <f>Supuestos!$B$37</f>
        <v/>
      </c>
      <c r="P6" s="16">
        <f>Supuestos!$B$37</f>
        <v/>
      </c>
      <c r="Q6" s="16">
        <f>Supuestos!$B$37</f>
        <v/>
      </c>
      <c r="R6" s="16">
        <f>Supuestos!$B$37</f>
        <v/>
      </c>
      <c r="S6" s="16">
        <f>Supuestos!$B$37</f>
        <v/>
      </c>
      <c r="T6" s="16">
        <f>Supuestos!$B$37</f>
        <v/>
      </c>
      <c r="U6" s="16">
        <f>Supuestos!$B$37</f>
        <v/>
      </c>
      <c r="V6" s="16">
        <f>Supuestos!$B$37</f>
        <v/>
      </c>
      <c r="W6" s="16">
        <f>Supuestos!$B$37</f>
        <v/>
      </c>
      <c r="X6" s="16">
        <f>Supuestos!$B$37</f>
        <v/>
      </c>
      <c r="Y6" s="16">
        <f>Supuestos!$B$37</f>
        <v/>
      </c>
    </row>
    <row r="7">
      <c r="A7" s="2" t="inlineStr">
        <is>
          <t>Flujo neto mensual (USD, sin inflación)</t>
        </is>
      </c>
      <c r="B7" s="18">
        <f>B5-B6</f>
        <v/>
      </c>
      <c r="C7" s="18">
        <f>C5-C6</f>
        <v/>
      </c>
      <c r="D7" s="18">
        <f>D5-D6</f>
        <v/>
      </c>
      <c r="E7" s="18">
        <f>E5-E6</f>
        <v/>
      </c>
      <c r="F7" s="18">
        <f>F5-F6</f>
        <v/>
      </c>
      <c r="G7" s="18">
        <f>G5-G6</f>
        <v/>
      </c>
      <c r="H7" s="18">
        <f>H5-H6</f>
        <v/>
      </c>
      <c r="I7" s="18">
        <f>I5-I6</f>
        <v/>
      </c>
      <c r="J7" s="18">
        <f>J5-J6</f>
        <v/>
      </c>
      <c r="K7" s="18">
        <f>K5-K6</f>
        <v/>
      </c>
      <c r="L7" s="18">
        <f>L5-L6</f>
        <v/>
      </c>
      <c r="M7" s="18">
        <f>M5-M6</f>
        <v/>
      </c>
      <c r="N7" s="18">
        <f>N5-N6</f>
        <v/>
      </c>
      <c r="O7" s="18">
        <f>O5-O6</f>
        <v/>
      </c>
      <c r="P7" s="18">
        <f>P5-P6</f>
        <v/>
      </c>
      <c r="Q7" s="18">
        <f>Q5-Q6</f>
        <v/>
      </c>
      <c r="R7" s="18">
        <f>R5-R6</f>
        <v/>
      </c>
      <c r="S7" s="18">
        <f>S5-S6</f>
        <v/>
      </c>
      <c r="T7" s="18">
        <f>T5-T6</f>
        <v/>
      </c>
      <c r="U7" s="18">
        <f>U5-U6</f>
        <v/>
      </c>
      <c r="V7" s="18">
        <f>V5-V6</f>
        <v/>
      </c>
      <c r="W7" s="18">
        <f>W5-W6</f>
        <v/>
      </c>
      <c r="X7" s="18">
        <f>X5-X6</f>
        <v/>
      </c>
      <c r="Y7" s="18">
        <f>Y5-Y6</f>
        <v/>
      </c>
    </row>
    <row r="8">
      <c r="A8" s="2" t="inlineStr">
        <is>
          <t>Fondo de reserva acumulado (USD, sin inflación)</t>
        </is>
      </c>
      <c r="B8" s="18">
        <f>B7</f>
        <v/>
      </c>
      <c r="C8" s="18">
        <f>B8+C7</f>
        <v/>
      </c>
      <c r="D8" s="18">
        <f>C8+D7</f>
        <v/>
      </c>
      <c r="E8" s="18">
        <f>D8+E7</f>
        <v/>
      </c>
      <c r="F8" s="18">
        <f>E8+F7</f>
        <v/>
      </c>
      <c r="G8" s="18">
        <f>F8+G7</f>
        <v/>
      </c>
      <c r="H8" s="18">
        <f>G8+H7</f>
        <v/>
      </c>
      <c r="I8" s="18">
        <f>H8+I7</f>
        <v/>
      </c>
      <c r="J8" s="18">
        <f>I8+J7</f>
        <v/>
      </c>
      <c r="K8" s="18">
        <f>J8+K7</f>
        <v/>
      </c>
      <c r="L8" s="18">
        <f>K8+L7</f>
        <v/>
      </c>
      <c r="M8" s="18">
        <f>L8+M7</f>
        <v/>
      </c>
      <c r="N8" s="18">
        <f>M8+N7</f>
        <v/>
      </c>
      <c r="O8" s="18">
        <f>N8+O7</f>
        <v/>
      </c>
      <c r="P8" s="18">
        <f>O8+P7</f>
        <v/>
      </c>
      <c r="Q8" s="18">
        <f>P8+Q7</f>
        <v/>
      </c>
      <c r="R8" s="18">
        <f>Q8+R7</f>
        <v/>
      </c>
      <c r="S8" s="18">
        <f>R8+S7</f>
        <v/>
      </c>
      <c r="T8" s="18">
        <f>S8+T7</f>
        <v/>
      </c>
      <c r="U8" s="18">
        <f>T8+U7</f>
        <v/>
      </c>
      <c r="V8" s="18">
        <f>U8+V7</f>
        <v/>
      </c>
      <c r="W8" s="18">
        <f>V8+W7</f>
        <v/>
      </c>
      <c r="X8" s="18">
        <f>W8+X7</f>
        <v/>
      </c>
      <c r="Y8" s="18">
        <f>X8+Y7</f>
        <v/>
      </c>
    </row>
    <row r="9">
      <c r="A9" s="2" t="inlineStr">
        <is>
          <t>¿Déficit este mes? (sin inflación)</t>
        </is>
      </c>
      <c r="B9" s="27">
        <f>IF(B7&lt;0,"SI","NO")</f>
        <v/>
      </c>
      <c r="C9" s="27">
        <f>IF(C7&lt;0,"SI","NO")</f>
        <v/>
      </c>
      <c r="D9" s="27">
        <f>IF(D7&lt;0,"SI","NO")</f>
        <v/>
      </c>
      <c r="E9" s="27">
        <f>IF(E7&lt;0,"SI","NO")</f>
        <v/>
      </c>
      <c r="F9" s="27">
        <f>IF(F7&lt;0,"SI","NO")</f>
        <v/>
      </c>
      <c r="G9" s="27">
        <f>IF(G7&lt;0,"SI","NO")</f>
        <v/>
      </c>
      <c r="H9" s="27">
        <f>IF(H7&lt;0,"SI","NO")</f>
        <v/>
      </c>
      <c r="I9" s="27">
        <f>IF(I7&lt;0,"SI","NO")</f>
        <v/>
      </c>
      <c r="J9" s="27">
        <f>IF(J7&lt;0,"SI","NO")</f>
        <v/>
      </c>
      <c r="K9" s="27">
        <f>IF(K7&lt;0,"SI","NO")</f>
        <v/>
      </c>
      <c r="L9" s="27">
        <f>IF(L7&lt;0,"SI","NO")</f>
        <v/>
      </c>
      <c r="M9" s="27">
        <f>IF(M7&lt;0,"SI","NO")</f>
        <v/>
      </c>
      <c r="N9" s="27">
        <f>IF(N7&lt;0,"SI","NO")</f>
        <v/>
      </c>
      <c r="O9" s="27">
        <f>IF(O7&lt;0,"SI","NO")</f>
        <v/>
      </c>
      <c r="P9" s="27">
        <f>IF(P7&lt;0,"SI","NO")</f>
        <v/>
      </c>
      <c r="Q9" s="27">
        <f>IF(Q7&lt;0,"SI","NO")</f>
        <v/>
      </c>
      <c r="R9" s="27">
        <f>IF(R7&lt;0,"SI","NO")</f>
        <v/>
      </c>
      <c r="S9" s="27">
        <f>IF(S7&lt;0,"SI","NO")</f>
        <v/>
      </c>
      <c r="T9" s="27">
        <f>IF(T7&lt;0,"SI","NO")</f>
        <v/>
      </c>
      <c r="U9" s="27">
        <f>IF(U7&lt;0,"SI","NO")</f>
        <v/>
      </c>
      <c r="V9" s="27">
        <f>IF(V7&lt;0,"SI","NO")</f>
        <v/>
      </c>
      <c r="W9" s="27">
        <f>IF(W7&lt;0,"SI","NO")</f>
        <v/>
      </c>
      <c r="X9" s="27">
        <f>IF(X7&lt;0,"SI","NO")</f>
        <v/>
      </c>
      <c r="Y9" s="27">
        <f>IF(Y7&lt;0,"SI","NO")</f>
        <v/>
      </c>
    </row>
    <row r="10"/>
    <row r="11">
      <c r="A11" s="29" t="inlineStr">
        <is>
          <t>SENSIBILIDAD: costos con inflación local desde el mes 13 (año 2)</t>
        </is>
      </c>
    </row>
    <row r="12">
      <c r="A12" s="2" t="inlineStr">
        <is>
          <t>Costos fijos totales (USD, con inflación desde mes 13)</t>
        </is>
      </c>
      <c r="B12" s="16">
        <f>B6</f>
        <v/>
      </c>
      <c r="C12" s="16">
        <f>C6</f>
        <v/>
      </c>
      <c r="D12" s="16">
        <f>D6</f>
        <v/>
      </c>
      <c r="E12" s="16">
        <f>E6</f>
        <v/>
      </c>
      <c r="F12" s="16">
        <f>F6</f>
        <v/>
      </c>
      <c r="G12" s="16">
        <f>G6</f>
        <v/>
      </c>
      <c r="H12" s="16">
        <f>H6</f>
        <v/>
      </c>
      <c r="I12" s="16">
        <f>I6</f>
        <v/>
      </c>
      <c r="J12" s="16">
        <f>J6</f>
        <v/>
      </c>
      <c r="K12" s="16">
        <f>K6</f>
        <v/>
      </c>
      <c r="L12" s="16">
        <f>L6</f>
        <v/>
      </c>
      <c r="M12" s="16">
        <f>M6</f>
        <v/>
      </c>
      <c r="N12" s="16">
        <f>Supuestos!$B$37*(1+Supuestos!$B$50)</f>
        <v/>
      </c>
      <c r="O12" s="16">
        <f>Supuestos!$B$37*(1+Supuestos!$B$50)</f>
        <v/>
      </c>
      <c r="P12" s="16">
        <f>Supuestos!$B$37*(1+Supuestos!$B$50)</f>
        <v/>
      </c>
      <c r="Q12" s="16">
        <f>Supuestos!$B$37*(1+Supuestos!$B$50)</f>
        <v/>
      </c>
      <c r="R12" s="16">
        <f>Supuestos!$B$37*(1+Supuestos!$B$50)</f>
        <v/>
      </c>
      <c r="S12" s="16">
        <f>Supuestos!$B$37*(1+Supuestos!$B$50)</f>
        <v/>
      </c>
      <c r="T12" s="16">
        <f>Supuestos!$B$37*(1+Supuestos!$B$50)</f>
        <v/>
      </c>
      <c r="U12" s="16">
        <f>Supuestos!$B$37*(1+Supuestos!$B$50)</f>
        <v/>
      </c>
      <c r="V12" s="16">
        <f>Supuestos!$B$37*(1+Supuestos!$B$50)</f>
        <v/>
      </c>
      <c r="W12" s="16">
        <f>Supuestos!$B$37*(1+Supuestos!$B$50)</f>
        <v/>
      </c>
      <c r="X12" s="16">
        <f>Supuestos!$B$37*(1+Supuestos!$B$50)</f>
        <v/>
      </c>
      <c r="Y12" s="16">
        <f>Supuestos!$B$37*(1+Supuestos!$B$50)</f>
        <v/>
      </c>
    </row>
    <row r="13">
      <c r="A13" s="2" t="inlineStr">
        <is>
          <t>Flujo neto mensual (USD, con inflación desde mes 13)</t>
        </is>
      </c>
      <c r="B13" s="18">
        <f>B5-B12</f>
        <v/>
      </c>
      <c r="C13" s="18">
        <f>C5-C12</f>
        <v/>
      </c>
      <c r="D13" s="18">
        <f>D5-D12</f>
        <v/>
      </c>
      <c r="E13" s="18">
        <f>E5-E12</f>
        <v/>
      </c>
      <c r="F13" s="18">
        <f>F5-F12</f>
        <v/>
      </c>
      <c r="G13" s="18">
        <f>G5-G12</f>
        <v/>
      </c>
      <c r="H13" s="18">
        <f>H5-H12</f>
        <v/>
      </c>
      <c r="I13" s="18">
        <f>I5-I12</f>
        <v/>
      </c>
      <c r="J13" s="18">
        <f>J5-J12</f>
        <v/>
      </c>
      <c r="K13" s="18">
        <f>K5-K12</f>
        <v/>
      </c>
      <c r="L13" s="18">
        <f>L5-L12</f>
        <v/>
      </c>
      <c r="M13" s="18">
        <f>M5-M12</f>
        <v/>
      </c>
      <c r="N13" s="18">
        <f>N5-N12</f>
        <v/>
      </c>
      <c r="O13" s="18">
        <f>O5-O12</f>
        <v/>
      </c>
      <c r="P13" s="18">
        <f>P5-P12</f>
        <v/>
      </c>
      <c r="Q13" s="18">
        <f>Q5-Q12</f>
        <v/>
      </c>
      <c r="R13" s="18">
        <f>R5-R12</f>
        <v/>
      </c>
      <c r="S13" s="18">
        <f>S5-S12</f>
        <v/>
      </c>
      <c r="T13" s="18">
        <f>T5-T12</f>
        <v/>
      </c>
      <c r="U13" s="18">
        <f>U5-U12</f>
        <v/>
      </c>
      <c r="V13" s="18">
        <f>V5-V12</f>
        <v/>
      </c>
      <c r="W13" s="18">
        <f>W5-W12</f>
        <v/>
      </c>
      <c r="X13" s="18">
        <f>X5-X12</f>
        <v/>
      </c>
      <c r="Y13" s="18">
        <f>Y5-Y12</f>
        <v/>
      </c>
    </row>
    <row r="14">
      <c r="A14" s="2" t="inlineStr">
        <is>
          <t>Fondo de reserva acumulado (USD, con inflación desde mes 13)</t>
        </is>
      </c>
      <c r="B14" s="18">
        <f>B13</f>
        <v/>
      </c>
      <c r="C14" s="18">
        <f>B14+C13</f>
        <v/>
      </c>
      <c r="D14" s="18">
        <f>C14+D13</f>
        <v/>
      </c>
      <c r="E14" s="18">
        <f>D14+E13</f>
        <v/>
      </c>
      <c r="F14" s="18">
        <f>E14+F13</f>
        <v/>
      </c>
      <c r="G14" s="18">
        <f>F14+G13</f>
        <v/>
      </c>
      <c r="H14" s="18">
        <f>G14+H13</f>
        <v/>
      </c>
      <c r="I14" s="18">
        <f>H14+I13</f>
        <v/>
      </c>
      <c r="J14" s="18">
        <f>I14+J13</f>
        <v/>
      </c>
      <c r="K14" s="18">
        <f>J14+K13</f>
        <v/>
      </c>
      <c r="L14" s="18">
        <f>K14+L13</f>
        <v/>
      </c>
      <c r="M14" s="18">
        <f>L14+M13</f>
        <v/>
      </c>
      <c r="N14" s="18">
        <f>M14+N13</f>
        <v/>
      </c>
      <c r="O14" s="18">
        <f>N14+O13</f>
        <v/>
      </c>
      <c r="P14" s="18">
        <f>O14+P13</f>
        <v/>
      </c>
      <c r="Q14" s="18">
        <f>P14+Q13</f>
        <v/>
      </c>
      <c r="R14" s="18">
        <f>Q14+R13</f>
        <v/>
      </c>
      <c r="S14" s="18">
        <f>R14+S13</f>
        <v/>
      </c>
      <c r="T14" s="18">
        <f>S14+T13</f>
        <v/>
      </c>
      <c r="U14" s="18">
        <f>T14+U13</f>
        <v/>
      </c>
      <c r="V14" s="18">
        <f>U14+V13</f>
        <v/>
      </c>
      <c r="W14" s="18">
        <f>V14+W13</f>
        <v/>
      </c>
      <c r="X14" s="18">
        <f>W14+X13</f>
        <v/>
      </c>
      <c r="Y14" s="18">
        <f>X14+Y13</f>
        <v/>
      </c>
    </row>
    <row r="15">
      <c r="A15" s="2" t="inlineStr">
        <is>
          <t>¿Déficit este mes? (con inflación desde mes 13)</t>
        </is>
      </c>
      <c r="B15" s="27">
        <f>IF(B13&lt;0,"SI","NO")</f>
        <v/>
      </c>
      <c r="C15" s="27">
        <f>IF(C13&lt;0,"SI","NO")</f>
        <v/>
      </c>
      <c r="D15" s="27">
        <f>IF(D13&lt;0,"SI","NO")</f>
        <v/>
      </c>
      <c r="E15" s="27">
        <f>IF(E13&lt;0,"SI","NO")</f>
        <v/>
      </c>
      <c r="F15" s="27">
        <f>IF(F13&lt;0,"SI","NO")</f>
        <v/>
      </c>
      <c r="G15" s="27">
        <f>IF(G13&lt;0,"SI","NO")</f>
        <v/>
      </c>
      <c r="H15" s="27">
        <f>IF(H13&lt;0,"SI","NO")</f>
        <v/>
      </c>
      <c r="I15" s="27">
        <f>IF(I13&lt;0,"SI","NO")</f>
        <v/>
      </c>
      <c r="J15" s="27">
        <f>IF(J13&lt;0,"SI","NO")</f>
        <v/>
      </c>
      <c r="K15" s="27">
        <f>IF(K13&lt;0,"SI","NO")</f>
        <v/>
      </c>
      <c r="L15" s="27">
        <f>IF(L13&lt;0,"SI","NO")</f>
        <v/>
      </c>
      <c r="M15" s="27">
        <f>IF(M13&lt;0,"SI","NO")</f>
        <v/>
      </c>
      <c r="N15" s="27">
        <f>IF(N13&lt;0,"SI","NO")</f>
        <v/>
      </c>
      <c r="O15" s="27">
        <f>IF(O13&lt;0,"SI","NO")</f>
        <v/>
      </c>
      <c r="P15" s="27">
        <f>IF(P13&lt;0,"SI","NO")</f>
        <v/>
      </c>
      <c r="Q15" s="27">
        <f>IF(Q13&lt;0,"SI","NO")</f>
        <v/>
      </c>
      <c r="R15" s="27">
        <f>IF(R13&lt;0,"SI","NO")</f>
        <v/>
      </c>
      <c r="S15" s="27">
        <f>IF(S13&lt;0,"SI","NO")</f>
        <v/>
      </c>
      <c r="T15" s="27">
        <f>IF(T13&lt;0,"SI","NO")</f>
        <v/>
      </c>
      <c r="U15" s="27">
        <f>IF(U13&lt;0,"SI","NO")</f>
        <v/>
      </c>
      <c r="V15" s="27">
        <f>IF(V13&lt;0,"SI","NO")</f>
        <v/>
      </c>
      <c r="W15" s="27">
        <f>IF(W13&lt;0,"SI","NO")</f>
        <v/>
      </c>
      <c r="X15" s="27">
        <f>IF(X13&lt;0,"SI","NO")</f>
        <v/>
      </c>
      <c r="Y15" s="27">
        <f>IF(Y13&lt;0,"SI","NO")</f>
        <v/>
      </c>
    </row>
    <row r="16"/>
    <row r="17">
      <c r="A17" s="2" t="inlineStr">
        <is>
          <t>Primer mes con déficit (sin inflación)</t>
        </is>
      </c>
      <c r="B17" s="30">
        <f>IFERROR(MATCH("SI",B9:Y9,0),"Ninguno (sin déficit en 24 meses)")</f>
        <v/>
      </c>
    </row>
    <row r="18">
      <c r="A18" s="2" t="inlineStr">
        <is>
          <t>Primer mes con déficit (con inflación desde mes 13)</t>
        </is>
      </c>
      <c r="B18" s="30">
        <f>IFERROR(MATCH("SI",B15:Y15,0),"Ninguno (sin déficit en 24 meses)")</f>
        <v/>
      </c>
    </row>
    <row r="19">
      <c r="A19" s="2" t="inlineStr">
        <is>
          <t>Fondo de reserva al mes 24 (USD, sin inflación)</t>
        </is>
      </c>
      <c r="B19" s="31">
        <f>Y8</f>
        <v/>
      </c>
    </row>
    <row r="20">
      <c r="A20" s="2" t="inlineStr">
        <is>
          <t>Fondo de reserva al mes 24 (USD, con inflación desde mes 13)</t>
        </is>
      </c>
      <c r="B20" s="31">
        <f>Y14</f>
        <v/>
      </c>
    </row>
    <row r="21" ht="15.75" customHeight="1" s="32"/>
    <row r="22" ht="15.75" customHeight="1" s="32"/>
    <row r="23" ht="15.75" customHeight="1" s="32"/>
    <row r="24" ht="15.75" customHeight="1" s="32"/>
    <row r="25" ht="15.75" customHeight="1" s="32"/>
    <row r="26" ht="15.75" customHeight="1" s="32"/>
    <row r="27" ht="15.75" customHeight="1" s="32"/>
    <row r="28" ht="15.75" customHeight="1" s="32"/>
    <row r="29" ht="15.75" customHeight="1" s="32"/>
    <row r="30" ht="15.75" customHeight="1" s="32"/>
    <row r="31" ht="15.75" customHeight="1" s="32"/>
    <row r="32" ht="15.75" customHeight="1" s="32"/>
    <row r="33" ht="15.75" customHeight="1" s="32"/>
    <row r="34" ht="15.75" customHeight="1" s="32"/>
    <row r="35" ht="15.75" customHeight="1" s="32"/>
    <row r="36" ht="15.75" customHeight="1" s="32"/>
    <row r="37" ht="15.75" customHeight="1" s="32"/>
    <row r="38" ht="15.75" customHeight="1" s="32"/>
    <row r="39" ht="15.75" customHeight="1" s="32"/>
    <row r="40" ht="15.75" customHeight="1" s="32"/>
    <row r="41" ht="15.75" customHeight="1" s="32"/>
    <row r="42" ht="15.75" customHeight="1" s="32"/>
    <row r="43" ht="15.75" customHeight="1" s="32"/>
    <row r="44" ht="15.75" customHeight="1" s="32"/>
    <row r="45" ht="15.75" customHeight="1" s="32"/>
    <row r="46" ht="15.75" customHeight="1" s="32"/>
    <row r="47" ht="15.75" customHeight="1" s="32"/>
    <row r="48" ht="15.75" customHeight="1" s="32"/>
    <row r="49" ht="15.75" customHeight="1" s="32"/>
    <row r="50" ht="15.75" customHeight="1" s="32"/>
    <row r="51" ht="15.75" customHeight="1" s="32"/>
    <row r="52" ht="15.75" customHeight="1" s="32"/>
    <row r="53" ht="15.75" customHeight="1" s="32"/>
    <row r="54" ht="15.75" customHeight="1" s="32"/>
    <row r="55" ht="15.75" customHeight="1" s="32"/>
    <row r="56" ht="15.75" customHeight="1" s="32"/>
    <row r="57" ht="15.75" customHeight="1" s="32"/>
    <row r="58" ht="15.75" customHeight="1" s="32"/>
    <row r="59" ht="15.75" customHeight="1" s="32"/>
    <row r="60" ht="15.75" customHeight="1" s="32"/>
    <row r="61" ht="15.75" customHeight="1" s="32"/>
    <row r="62" ht="15.75" customHeight="1" s="32"/>
    <row r="63" ht="15.75" customHeight="1" s="32"/>
    <row r="64" ht="15.75" customHeight="1" s="32"/>
    <row r="65" ht="15.75" customHeight="1" s="32"/>
    <row r="66" ht="15.75" customHeight="1" s="32"/>
    <row r="67" ht="15.75" customHeight="1" s="32"/>
    <row r="68" ht="15.75" customHeight="1" s="32"/>
    <row r="69" ht="15.75" customHeight="1" s="32"/>
    <row r="70" ht="15.75" customHeight="1" s="32"/>
    <row r="71" ht="15.75" customHeight="1" s="32"/>
    <row r="72" ht="15.75" customHeight="1" s="32"/>
    <row r="73" ht="15.75" customHeight="1" s="32"/>
    <row r="74" ht="15.75" customHeight="1" s="32"/>
    <row r="75" ht="15.75" customHeight="1" s="32"/>
    <row r="76" ht="15.75" customHeight="1" s="32"/>
    <row r="77" ht="15.75" customHeight="1" s="32"/>
    <row r="78" ht="15.75" customHeight="1" s="32"/>
    <row r="79" ht="15.75" customHeight="1" s="32"/>
    <row r="80" ht="15.75" customHeight="1" s="32"/>
    <row r="81" ht="15.75" customHeight="1" s="32"/>
    <row r="82" ht="15.75" customHeight="1" s="32"/>
    <row r="83" ht="15.75" customHeight="1" s="32"/>
    <row r="84" ht="15.75" customHeight="1" s="32"/>
    <row r="85" ht="15.75" customHeight="1" s="32"/>
    <row r="86" ht="15.75" customHeight="1" s="32"/>
    <row r="87" ht="15.75" customHeight="1" s="32"/>
    <row r="88" ht="15.75" customHeight="1" s="32"/>
    <row r="89" ht="15.75" customHeight="1" s="32"/>
    <row r="90" ht="15.75" customHeight="1" s="32"/>
    <row r="91" ht="15.75" customHeight="1" s="32"/>
    <row r="92" ht="15.75" customHeight="1" s="32"/>
    <row r="93" ht="15.75" customHeight="1" s="32"/>
    <row r="94" ht="15.75" customHeight="1" s="32"/>
    <row r="95" ht="15.75" customHeight="1" s="32"/>
    <row r="96" ht="15.75" customHeight="1" s="32"/>
    <row r="97" ht="15.75" customHeight="1" s="32"/>
    <row r="98" ht="15.75" customHeight="1" s="32"/>
    <row r="99" ht="15.75" customHeight="1" s="32"/>
    <row r="100" ht="15.75" customHeight="1" s="32"/>
    <row r="101" ht="15.75" customHeight="1" s="32"/>
    <row r="102" ht="15.75" customHeight="1" s="32"/>
    <row r="103" ht="15.75" customHeight="1" s="32"/>
    <row r="104" ht="15.75" customHeight="1" s="32"/>
    <row r="105" ht="15.75" customHeight="1" s="32"/>
    <row r="106" ht="15.75" customHeight="1" s="32"/>
    <row r="107" ht="15.75" customHeight="1" s="32"/>
    <row r="108" ht="15.75" customHeight="1" s="32"/>
    <row r="109" ht="15.75" customHeight="1" s="32"/>
    <row r="110" ht="15.75" customHeight="1" s="32"/>
    <row r="111" ht="15.75" customHeight="1" s="32"/>
    <row r="112" ht="15.75" customHeight="1" s="32"/>
    <row r="113" ht="15.75" customHeight="1" s="32"/>
    <row r="114" ht="15.75" customHeight="1" s="32"/>
    <row r="115" ht="15.75" customHeight="1" s="32"/>
    <row r="116" ht="15.75" customHeight="1" s="32"/>
    <row r="117" ht="15.75" customHeight="1" s="32"/>
    <row r="118" ht="15.75" customHeight="1" s="32"/>
    <row r="119" ht="15.75" customHeight="1" s="32"/>
    <row r="120" ht="15.75" customHeight="1" s="32"/>
    <row r="121" ht="15.75" customHeight="1" s="32"/>
    <row r="122" ht="15.75" customHeight="1" s="32"/>
    <row r="123" ht="15.75" customHeight="1" s="32"/>
    <row r="124" ht="15.75" customHeight="1" s="32"/>
    <row r="125" ht="15.75" customHeight="1" s="32"/>
    <row r="126" ht="15.75" customHeight="1" s="32"/>
    <row r="127" ht="15.75" customHeight="1" s="32"/>
    <row r="128" ht="15.75" customHeight="1" s="32"/>
    <row r="129" ht="15.75" customHeight="1" s="32"/>
    <row r="130" ht="15.75" customHeight="1" s="32"/>
    <row r="131" ht="15.75" customHeight="1" s="32"/>
    <row r="132" ht="15.75" customHeight="1" s="32"/>
    <row r="133" ht="15.75" customHeight="1" s="32"/>
    <row r="134" ht="15.75" customHeight="1" s="32"/>
    <row r="135" ht="15.75" customHeight="1" s="32"/>
    <row r="136" ht="15.75" customHeight="1" s="32"/>
    <row r="137" ht="15.75" customHeight="1" s="32"/>
    <row r="138" ht="15.75" customHeight="1" s="32"/>
    <row r="139" ht="15.75" customHeight="1" s="32"/>
    <row r="140" ht="15.75" customHeight="1" s="32"/>
    <row r="141" ht="15.75" customHeight="1" s="32"/>
    <row r="142" ht="15.75" customHeight="1" s="32"/>
    <row r="143" ht="15.75" customHeight="1" s="32"/>
    <row r="144" ht="15.75" customHeight="1" s="32"/>
    <row r="145" ht="15.75" customHeight="1" s="32"/>
    <row r="146" ht="15.75" customHeight="1" s="32"/>
    <row r="147" ht="15.75" customHeight="1" s="32"/>
    <row r="148" ht="15.75" customHeight="1" s="32"/>
    <row r="149" ht="15.75" customHeight="1" s="32"/>
    <row r="150" ht="15.75" customHeight="1" s="32"/>
    <row r="151" ht="15.75" customHeight="1" s="32"/>
    <row r="152" ht="15.75" customHeight="1" s="32"/>
    <row r="153" ht="15.75" customHeight="1" s="32"/>
    <row r="154" ht="15.75" customHeight="1" s="32"/>
    <row r="155" ht="15.75" customHeight="1" s="32"/>
    <row r="156" ht="15.75" customHeight="1" s="32"/>
    <row r="157" ht="15.75" customHeight="1" s="32"/>
    <row r="158" ht="15.75" customHeight="1" s="32"/>
    <row r="159" ht="15.75" customHeight="1" s="32"/>
    <row r="160" ht="15.75" customHeight="1" s="32"/>
    <row r="161" ht="15.75" customHeight="1" s="32"/>
    <row r="162" ht="15.75" customHeight="1" s="32"/>
    <row r="163" ht="15.75" customHeight="1" s="32"/>
    <row r="164" ht="15.75" customHeight="1" s="32"/>
    <row r="165" ht="15.75" customHeight="1" s="32"/>
    <row r="166" ht="15.75" customHeight="1" s="32"/>
    <row r="167" ht="15.75" customHeight="1" s="32"/>
    <row r="168" ht="15.75" customHeight="1" s="32"/>
    <row r="169" ht="15.75" customHeight="1" s="32"/>
    <row r="170" ht="15.75" customHeight="1" s="32"/>
    <row r="171" ht="15.75" customHeight="1" s="32"/>
    <row r="172" ht="15.75" customHeight="1" s="32"/>
    <row r="173" ht="15.75" customHeight="1" s="32"/>
    <row r="174" ht="15.75" customHeight="1" s="32"/>
    <row r="175" ht="15.75" customHeight="1" s="32"/>
    <row r="176" ht="15.75" customHeight="1" s="32"/>
    <row r="177" ht="15.75" customHeight="1" s="32"/>
    <row r="178" ht="15.75" customHeight="1" s="32"/>
    <row r="179" ht="15.75" customHeight="1" s="32"/>
    <row r="180" ht="15.75" customHeight="1" s="32"/>
    <row r="181" ht="15.75" customHeight="1" s="32"/>
    <row r="182" ht="15.75" customHeight="1" s="32"/>
    <row r="183" ht="15.75" customHeight="1" s="32"/>
    <row r="184" ht="15.75" customHeight="1" s="32"/>
    <row r="185" ht="15.75" customHeight="1" s="32"/>
    <row r="186" ht="15.75" customHeight="1" s="32"/>
    <row r="187" ht="15.75" customHeight="1" s="32"/>
    <row r="188" ht="15.75" customHeight="1" s="32"/>
    <row r="189" ht="15.75" customHeight="1" s="32"/>
    <row r="190" ht="15.75" customHeight="1" s="32"/>
    <row r="191" ht="15.75" customHeight="1" s="32"/>
    <row r="192" ht="15.75" customHeight="1" s="32"/>
    <row r="193" ht="15.75" customHeight="1" s="32"/>
    <row r="194" ht="15.75" customHeight="1" s="32"/>
    <row r="195" ht="15.75" customHeight="1" s="32"/>
    <row r="196" ht="15.75" customHeight="1" s="32"/>
    <row r="197" ht="15.75" customHeight="1" s="32"/>
    <row r="198" ht="15.75" customHeight="1" s="32"/>
    <row r="199" ht="15.75" customHeight="1" s="32"/>
    <row r="200" ht="15.75" customHeight="1" s="32"/>
    <row r="201" ht="15.75" customHeight="1" s="32"/>
    <row r="202" ht="15.75" customHeight="1" s="32"/>
    <row r="203" ht="15.75" customHeight="1" s="32"/>
    <row r="204" ht="15.75" customHeight="1" s="32"/>
    <row r="205" ht="15.75" customHeight="1" s="32"/>
    <row r="206" ht="15.75" customHeight="1" s="32"/>
    <row r="207" ht="15.75" customHeight="1" s="32"/>
    <row r="208" ht="15.75" customHeight="1" s="32"/>
    <row r="209" ht="15.75" customHeight="1" s="32"/>
    <row r="210" ht="15.75" customHeight="1" s="32"/>
    <row r="211" ht="15.75" customHeight="1" s="32"/>
    <row r="212" ht="15.75" customHeight="1" s="32"/>
    <row r="213" ht="15.75" customHeight="1" s="32"/>
    <row r="214" ht="15.75" customHeight="1" s="32"/>
    <row r="215" ht="15.75" customHeight="1" s="32"/>
    <row r="216" ht="15.75" customHeight="1" s="32"/>
    <row r="217" ht="15.75" customHeight="1" s="32"/>
    <row r="218" ht="15.75" customHeight="1" s="32"/>
    <row r="219" ht="15.75" customHeight="1" s="32"/>
    <row r="220" ht="15.75" customHeight="1" s="32"/>
    <row r="221" ht="15.75" customHeight="1" s="32"/>
    <row r="222" ht="15.75" customHeight="1" s="32"/>
    <row r="223" ht="15.75" customHeight="1" s="32"/>
    <row r="224" ht="15.75" customHeight="1" s="32"/>
    <row r="225" ht="15.75" customHeight="1" s="32"/>
    <row r="226" ht="15.75" customHeight="1" s="32"/>
    <row r="227" ht="15.75" customHeight="1" s="32"/>
    <row r="228" ht="15.75" customHeight="1" s="32"/>
    <row r="229" ht="15.75" customHeight="1" s="32"/>
    <row r="230" ht="15.75" customHeight="1" s="32"/>
    <row r="231" ht="15.75" customHeight="1" s="32"/>
    <row r="232" ht="15.75" customHeight="1" s="32"/>
    <row r="233" ht="15.75" customHeight="1" s="32"/>
    <row r="234" ht="15.75" customHeight="1" s="32"/>
    <row r="235" ht="15.75" customHeight="1" s="32"/>
    <row r="236" ht="15.75" customHeight="1" s="32"/>
    <row r="237" ht="15.75" customHeight="1" s="32"/>
    <row r="238" ht="15.75" customHeight="1" s="32"/>
    <row r="239" ht="15.75" customHeight="1" s="32"/>
    <row r="240" ht="15.75" customHeight="1" s="32"/>
    <row r="241" ht="15.75" customHeight="1" s="32"/>
    <row r="242" ht="15.75" customHeight="1" s="32"/>
    <row r="243" ht="15.75" customHeight="1" s="32"/>
    <row r="244" ht="15.75" customHeight="1" s="32"/>
    <row r="245" ht="15.75" customHeight="1" s="32"/>
    <row r="246" ht="15.75" customHeight="1" s="32"/>
    <row r="247" ht="15.75" customHeight="1" s="32"/>
    <row r="248" ht="15.75" customHeight="1" s="32"/>
    <row r="249" ht="15.75" customHeight="1" s="32"/>
    <row r="250" ht="15.75" customHeight="1" s="32"/>
    <row r="251" ht="15.75" customHeight="1" s="32"/>
    <row r="252" ht="15.75" customHeight="1" s="32"/>
    <row r="253" ht="15.75" customHeight="1" s="32"/>
    <row r="254" ht="15.75" customHeight="1" s="32"/>
    <row r="255" ht="15.75" customHeight="1" s="32"/>
    <row r="256" ht="15.75" customHeight="1" s="32"/>
    <row r="257" ht="15.75" customHeight="1" s="32"/>
    <row r="258" ht="15.75" customHeight="1" s="32"/>
    <row r="259" ht="15.75" customHeight="1" s="32"/>
    <row r="260" ht="15.75" customHeight="1" s="32"/>
    <row r="261" ht="15.75" customHeight="1" s="32"/>
    <row r="262" ht="15.75" customHeight="1" s="32"/>
    <row r="263" ht="15.75" customHeight="1" s="32"/>
    <row r="264" ht="15.75" customHeight="1" s="32"/>
    <row r="265" ht="15.75" customHeight="1" s="32"/>
    <row r="266" ht="15.75" customHeight="1" s="32"/>
    <row r="267" ht="15.75" customHeight="1" s="32"/>
    <row r="268" ht="15.75" customHeight="1" s="32"/>
    <row r="269" ht="15.75" customHeight="1" s="32"/>
    <row r="270" ht="15.75" customHeight="1" s="32"/>
    <row r="271" ht="15.75" customHeight="1" s="32"/>
    <row r="272" ht="15.75" customHeight="1" s="32"/>
    <row r="273" ht="15.75" customHeight="1" s="32"/>
    <row r="274" ht="15.75" customHeight="1" s="32"/>
    <row r="275" ht="15.75" customHeight="1" s="32"/>
    <row r="276" ht="15.75" customHeight="1" s="32"/>
    <row r="277" ht="15.75" customHeight="1" s="32"/>
    <row r="278" ht="15.75" customHeight="1" s="32"/>
    <row r="279" ht="15.75" customHeight="1" s="32"/>
    <row r="280" ht="15.75" customHeight="1" s="32"/>
    <row r="281" ht="15.75" customHeight="1" s="32"/>
    <row r="282" ht="15.75" customHeight="1" s="32"/>
    <row r="283" ht="15.75" customHeight="1" s="32"/>
    <row r="284" ht="15.75" customHeight="1" s="32"/>
    <row r="285" ht="15.75" customHeight="1" s="32"/>
    <row r="286" ht="15.75" customHeight="1" s="32"/>
    <row r="287" ht="15.75" customHeight="1" s="32"/>
    <row r="288" ht="15.75" customHeight="1" s="32"/>
    <row r="289" ht="15.75" customHeight="1" s="32"/>
    <row r="290" ht="15.75" customHeight="1" s="32"/>
    <row r="291" ht="15.75" customHeight="1" s="32"/>
    <row r="292" ht="15.75" customHeight="1" s="32"/>
    <row r="293" ht="15.75" customHeight="1" s="32"/>
    <row r="294" ht="15.75" customHeight="1" s="32"/>
    <row r="295" ht="15.75" customHeight="1" s="32"/>
    <row r="296" ht="15.75" customHeight="1" s="32"/>
    <row r="297" ht="15.75" customHeight="1" s="32"/>
    <row r="298" ht="15.75" customHeight="1" s="32"/>
    <row r="299" ht="15.75" customHeight="1" s="32"/>
    <row r="300" ht="15.75" customHeight="1" s="32"/>
    <row r="301" ht="15.75" customHeight="1" s="32"/>
    <row r="302" ht="15.75" customHeight="1" s="32"/>
    <row r="303" ht="15.75" customHeight="1" s="32"/>
    <row r="304" ht="15.75" customHeight="1" s="32"/>
    <row r="305" ht="15.75" customHeight="1" s="32"/>
    <row r="306" ht="15.75" customHeight="1" s="32"/>
    <row r="307" ht="15.75" customHeight="1" s="32"/>
    <row r="308" ht="15.75" customHeight="1" s="32"/>
    <row r="309" ht="15.75" customHeight="1" s="32"/>
    <row r="310" ht="15.75" customHeight="1" s="32"/>
    <row r="311" ht="15.75" customHeight="1" s="32"/>
    <row r="312" ht="15.75" customHeight="1" s="32"/>
    <row r="313" ht="15.75" customHeight="1" s="32"/>
    <row r="314" ht="15.75" customHeight="1" s="32"/>
    <row r="315" ht="15.75" customHeight="1" s="32"/>
    <row r="316" ht="15.75" customHeight="1" s="32"/>
    <row r="317" ht="15.75" customHeight="1" s="32"/>
    <row r="318" ht="15.75" customHeight="1" s="32"/>
    <row r="319" ht="15.75" customHeight="1" s="32"/>
    <row r="320" ht="15.75" customHeight="1" s="32"/>
    <row r="321" ht="15.75" customHeight="1" s="32"/>
    <row r="322" ht="15.75" customHeight="1" s="32"/>
    <row r="323" ht="15.75" customHeight="1" s="32"/>
    <row r="324" ht="15.75" customHeight="1" s="32"/>
    <row r="325" ht="15.75" customHeight="1" s="32"/>
    <row r="326" ht="15.75" customHeight="1" s="32"/>
    <row r="327" ht="15.75" customHeight="1" s="32"/>
    <row r="328" ht="15.75" customHeight="1" s="32"/>
    <row r="329" ht="15.75" customHeight="1" s="32"/>
    <row r="330" ht="15.75" customHeight="1" s="32"/>
    <row r="331" ht="15.75" customHeight="1" s="32"/>
    <row r="332" ht="15.75" customHeight="1" s="32"/>
    <row r="333" ht="15.75" customHeight="1" s="32"/>
    <row r="334" ht="15.75" customHeight="1" s="32"/>
    <row r="335" ht="15.75" customHeight="1" s="32"/>
    <row r="336" ht="15.75" customHeight="1" s="32"/>
    <row r="337" ht="15.75" customHeight="1" s="32"/>
    <row r="338" ht="15.75" customHeight="1" s="32"/>
    <row r="339" ht="15.75" customHeight="1" s="32"/>
    <row r="340" ht="15.75" customHeight="1" s="32"/>
    <row r="341" ht="15.75" customHeight="1" s="32"/>
    <row r="342" ht="15.75" customHeight="1" s="32"/>
    <row r="343" ht="15.75" customHeight="1" s="32"/>
    <row r="344" ht="15.75" customHeight="1" s="32"/>
    <row r="345" ht="15.75" customHeight="1" s="32"/>
    <row r="346" ht="15.75" customHeight="1" s="32"/>
    <row r="347" ht="15.75" customHeight="1" s="32"/>
    <row r="348" ht="15.75" customHeight="1" s="32"/>
    <row r="349" ht="15.75" customHeight="1" s="32"/>
    <row r="350" ht="15.75" customHeight="1" s="32"/>
    <row r="351" ht="15.75" customHeight="1" s="32"/>
    <row r="352" ht="15.75" customHeight="1" s="32"/>
    <row r="353" ht="15.75" customHeight="1" s="32"/>
    <row r="354" ht="15.75" customHeight="1" s="32"/>
    <row r="355" ht="15.75" customHeight="1" s="32"/>
    <row r="356" ht="15.75" customHeight="1" s="32"/>
    <row r="357" ht="15.75" customHeight="1" s="32"/>
    <row r="358" ht="15.75" customHeight="1" s="32"/>
    <row r="359" ht="15.75" customHeight="1" s="32"/>
    <row r="360" ht="15.75" customHeight="1" s="32"/>
    <row r="361" ht="15.75" customHeight="1" s="32"/>
    <row r="362" ht="15.75" customHeight="1" s="32"/>
    <row r="363" ht="15.75" customHeight="1" s="32"/>
    <row r="364" ht="15.75" customHeight="1" s="32"/>
    <row r="365" ht="15.75" customHeight="1" s="32"/>
    <row r="366" ht="15.75" customHeight="1" s="32"/>
    <row r="367" ht="15.75" customHeight="1" s="32"/>
    <row r="368" ht="15.75" customHeight="1" s="32"/>
    <row r="369" ht="15.75" customHeight="1" s="32"/>
    <row r="370" ht="15.75" customHeight="1" s="32"/>
    <row r="371" ht="15.75" customHeight="1" s="32"/>
    <row r="372" ht="15.75" customHeight="1" s="32"/>
    <row r="373" ht="15.75" customHeight="1" s="32"/>
    <row r="374" ht="15.75" customHeight="1" s="32"/>
    <row r="375" ht="15.75" customHeight="1" s="32"/>
    <row r="376" ht="15.75" customHeight="1" s="32"/>
    <row r="377" ht="15.75" customHeight="1" s="32"/>
    <row r="378" ht="15.75" customHeight="1" s="32"/>
    <row r="379" ht="15.75" customHeight="1" s="32"/>
    <row r="380" ht="15.75" customHeight="1" s="32"/>
    <row r="381" ht="15.75" customHeight="1" s="32"/>
    <row r="382" ht="15.75" customHeight="1" s="32"/>
    <row r="383" ht="15.75" customHeight="1" s="32"/>
    <row r="384" ht="15.75" customHeight="1" s="32"/>
    <row r="385" ht="15.75" customHeight="1" s="32"/>
    <row r="386" ht="15.75" customHeight="1" s="32"/>
    <row r="387" ht="15.75" customHeight="1" s="32"/>
    <row r="388" ht="15.75" customHeight="1" s="32"/>
    <row r="389" ht="15.75" customHeight="1" s="32"/>
    <row r="390" ht="15.75" customHeight="1" s="32"/>
    <row r="391" ht="15.75" customHeight="1" s="32"/>
    <row r="392" ht="15.75" customHeight="1" s="32"/>
    <row r="393" ht="15.75" customHeight="1" s="32"/>
    <row r="394" ht="15.75" customHeight="1" s="32"/>
    <row r="395" ht="15.75" customHeight="1" s="32"/>
    <row r="396" ht="15.75" customHeight="1" s="32"/>
    <row r="397" ht="15.75" customHeight="1" s="32"/>
    <row r="398" ht="15.75" customHeight="1" s="32"/>
    <row r="399" ht="15.75" customHeight="1" s="32"/>
    <row r="400" ht="15.75" customHeight="1" s="32"/>
    <row r="401" ht="15.75" customHeight="1" s="32"/>
    <row r="402" ht="15.75" customHeight="1" s="32"/>
    <row r="403" ht="15.75" customHeight="1" s="32"/>
    <row r="404" ht="15.75" customHeight="1" s="32"/>
    <row r="405" ht="15.75" customHeight="1" s="32"/>
    <row r="406" ht="15.75" customHeight="1" s="32"/>
    <row r="407" ht="15.75" customHeight="1" s="32"/>
    <row r="408" ht="15.75" customHeight="1" s="32"/>
    <row r="409" ht="15.75" customHeight="1" s="32"/>
    <row r="410" ht="15.75" customHeight="1" s="32"/>
    <row r="411" ht="15.75" customHeight="1" s="32"/>
    <row r="412" ht="15.75" customHeight="1" s="32"/>
    <row r="413" ht="15.75" customHeight="1" s="32"/>
    <row r="414" ht="15.75" customHeight="1" s="32"/>
    <row r="415" ht="15.75" customHeight="1" s="32"/>
    <row r="416" ht="15.75" customHeight="1" s="32"/>
    <row r="417" ht="15.75" customHeight="1" s="32"/>
    <row r="418" ht="15.75" customHeight="1" s="32"/>
    <row r="419" ht="15.75" customHeight="1" s="32"/>
    <row r="420" ht="15.75" customHeight="1" s="32"/>
    <row r="421" ht="15.75" customHeight="1" s="32"/>
    <row r="422" ht="15.75" customHeight="1" s="32"/>
    <row r="423" ht="15.75" customHeight="1" s="32"/>
    <row r="424" ht="15.75" customHeight="1" s="32"/>
    <row r="425" ht="15.75" customHeight="1" s="32"/>
    <row r="426" ht="15.75" customHeight="1" s="32"/>
    <row r="427" ht="15.75" customHeight="1" s="32"/>
    <row r="428" ht="15.75" customHeight="1" s="32"/>
    <row r="429" ht="15.75" customHeight="1" s="32"/>
    <row r="430" ht="15.75" customHeight="1" s="32"/>
    <row r="431" ht="15.75" customHeight="1" s="32"/>
    <row r="432" ht="15.75" customHeight="1" s="32"/>
    <row r="433" ht="15.75" customHeight="1" s="32"/>
    <row r="434" ht="15.75" customHeight="1" s="32"/>
    <row r="435" ht="15.75" customHeight="1" s="32"/>
    <row r="436" ht="15.75" customHeight="1" s="32"/>
    <row r="437" ht="15.75" customHeight="1" s="32"/>
    <row r="438" ht="15.75" customHeight="1" s="32"/>
    <row r="439" ht="15.75" customHeight="1" s="32"/>
    <row r="440" ht="15.75" customHeight="1" s="32"/>
    <row r="441" ht="15.75" customHeight="1" s="32"/>
    <row r="442" ht="15.75" customHeight="1" s="32"/>
    <row r="443" ht="15.75" customHeight="1" s="32"/>
    <row r="444" ht="15.75" customHeight="1" s="32"/>
    <row r="445" ht="15.75" customHeight="1" s="32"/>
    <row r="446" ht="15.75" customHeight="1" s="32"/>
    <row r="447" ht="15.75" customHeight="1" s="32"/>
    <row r="448" ht="15.75" customHeight="1" s="32"/>
    <row r="449" ht="15.75" customHeight="1" s="32"/>
    <row r="450" ht="15.75" customHeight="1" s="32"/>
    <row r="451" ht="15.75" customHeight="1" s="32"/>
    <row r="452" ht="15.75" customHeight="1" s="32"/>
    <row r="453" ht="15.75" customHeight="1" s="32"/>
    <row r="454" ht="15.75" customHeight="1" s="32"/>
    <row r="455" ht="15.75" customHeight="1" s="32"/>
    <row r="456" ht="15.75" customHeight="1" s="32"/>
    <row r="457" ht="15.75" customHeight="1" s="32"/>
    <row r="458" ht="15.75" customHeight="1" s="32"/>
    <row r="459" ht="15.75" customHeight="1" s="32"/>
    <row r="460" ht="15.75" customHeight="1" s="32"/>
    <row r="461" ht="15.75" customHeight="1" s="32"/>
    <row r="462" ht="15.75" customHeight="1" s="32"/>
    <row r="463" ht="15.75" customHeight="1" s="32"/>
    <row r="464" ht="15.75" customHeight="1" s="32"/>
    <row r="465" ht="15.75" customHeight="1" s="32"/>
    <row r="466" ht="15.75" customHeight="1" s="32"/>
    <row r="467" ht="15.75" customHeight="1" s="32"/>
    <row r="468" ht="15.75" customHeight="1" s="32"/>
    <row r="469" ht="15.75" customHeight="1" s="32"/>
    <row r="470" ht="15.75" customHeight="1" s="32"/>
    <row r="471" ht="15.75" customHeight="1" s="32"/>
    <row r="472" ht="15.75" customHeight="1" s="32"/>
    <row r="473" ht="15.75" customHeight="1" s="32"/>
    <row r="474" ht="15.75" customHeight="1" s="32"/>
    <row r="475" ht="15.75" customHeight="1" s="32"/>
    <row r="476" ht="15.75" customHeight="1" s="32"/>
    <row r="477" ht="15.75" customHeight="1" s="32"/>
    <row r="478" ht="15.75" customHeight="1" s="32"/>
    <row r="479" ht="15.75" customHeight="1" s="32"/>
    <row r="480" ht="15.75" customHeight="1" s="32"/>
    <row r="481" ht="15.75" customHeight="1" s="32"/>
    <row r="482" ht="15.75" customHeight="1" s="32"/>
    <row r="483" ht="15.75" customHeight="1" s="32"/>
    <row r="484" ht="15.75" customHeight="1" s="32"/>
    <row r="485" ht="15.75" customHeight="1" s="32"/>
    <row r="486" ht="15.75" customHeight="1" s="32"/>
    <row r="487" ht="15.75" customHeight="1" s="32"/>
    <row r="488" ht="15.75" customHeight="1" s="32"/>
    <row r="489" ht="15.75" customHeight="1" s="32"/>
    <row r="490" ht="15.75" customHeight="1" s="32"/>
    <row r="491" ht="15.75" customHeight="1" s="32"/>
    <row r="492" ht="15.75" customHeight="1" s="32"/>
    <row r="493" ht="15.75" customHeight="1" s="32"/>
    <row r="494" ht="15.75" customHeight="1" s="32"/>
    <row r="495" ht="15.75" customHeight="1" s="32"/>
    <row r="496" ht="15.75" customHeight="1" s="32"/>
    <row r="497" ht="15.75" customHeight="1" s="32"/>
    <row r="498" ht="15.75" customHeight="1" s="32"/>
    <row r="499" ht="15.75" customHeight="1" s="32"/>
    <row r="500" ht="15.75" customHeight="1" s="32"/>
    <row r="501" ht="15.75" customHeight="1" s="32"/>
    <row r="502" ht="15.75" customHeight="1" s="32"/>
    <row r="503" ht="15.75" customHeight="1" s="32"/>
    <row r="504" ht="15.75" customHeight="1" s="32"/>
    <row r="505" ht="15.75" customHeight="1" s="32"/>
    <row r="506" ht="15.75" customHeight="1" s="32"/>
    <row r="507" ht="15.75" customHeight="1" s="32"/>
    <row r="508" ht="15.75" customHeight="1" s="32"/>
    <row r="509" ht="15.75" customHeight="1" s="32"/>
    <row r="510" ht="15.75" customHeight="1" s="32"/>
    <row r="511" ht="15.75" customHeight="1" s="32"/>
    <row r="512" ht="15.75" customHeight="1" s="32"/>
    <row r="513" ht="15.75" customHeight="1" s="32"/>
    <row r="514" ht="15.75" customHeight="1" s="32"/>
    <row r="515" ht="15.75" customHeight="1" s="32"/>
    <row r="516" ht="15.75" customHeight="1" s="32"/>
    <row r="517" ht="15.75" customHeight="1" s="32"/>
    <row r="518" ht="15.75" customHeight="1" s="32"/>
    <row r="519" ht="15.75" customHeight="1" s="32"/>
    <row r="520" ht="15.75" customHeight="1" s="32"/>
    <row r="521" ht="15.75" customHeight="1" s="32"/>
    <row r="522" ht="15.75" customHeight="1" s="32"/>
    <row r="523" ht="15.75" customHeight="1" s="32"/>
    <row r="524" ht="15.75" customHeight="1" s="32"/>
    <row r="525" ht="15.75" customHeight="1" s="32"/>
    <row r="526" ht="15.75" customHeight="1" s="32"/>
    <row r="527" ht="15.75" customHeight="1" s="32"/>
    <row r="528" ht="15.75" customHeight="1" s="32"/>
    <row r="529" ht="15.75" customHeight="1" s="32"/>
    <row r="530" ht="15.75" customHeight="1" s="32"/>
    <row r="531" ht="15.75" customHeight="1" s="32"/>
    <row r="532" ht="15.75" customHeight="1" s="32"/>
    <row r="533" ht="15.75" customHeight="1" s="32"/>
    <row r="534" ht="15.75" customHeight="1" s="32"/>
    <row r="535" ht="15.75" customHeight="1" s="32"/>
    <row r="536" ht="15.75" customHeight="1" s="32"/>
    <row r="537" ht="15.75" customHeight="1" s="32"/>
    <row r="538" ht="15.75" customHeight="1" s="32"/>
    <row r="539" ht="15.75" customHeight="1" s="32"/>
    <row r="540" ht="15.75" customHeight="1" s="32"/>
    <row r="541" ht="15.75" customHeight="1" s="32"/>
    <row r="542" ht="15.75" customHeight="1" s="32"/>
    <row r="543" ht="15.75" customHeight="1" s="32"/>
    <row r="544" ht="15.75" customHeight="1" s="32"/>
    <row r="545" ht="15.75" customHeight="1" s="32"/>
    <row r="546" ht="15.75" customHeight="1" s="32"/>
    <row r="547" ht="15.75" customHeight="1" s="32"/>
    <row r="548" ht="15.75" customHeight="1" s="32"/>
    <row r="549" ht="15.75" customHeight="1" s="32"/>
    <row r="550" ht="15.75" customHeight="1" s="32"/>
    <row r="551" ht="15.75" customHeight="1" s="32"/>
    <row r="552" ht="15.75" customHeight="1" s="32"/>
    <row r="553" ht="15.75" customHeight="1" s="32"/>
    <row r="554" ht="15.75" customHeight="1" s="32"/>
    <row r="555" ht="15.75" customHeight="1" s="32"/>
    <row r="556" ht="15.75" customHeight="1" s="32"/>
    <row r="557" ht="15.75" customHeight="1" s="32"/>
    <row r="558" ht="15.75" customHeight="1" s="32"/>
    <row r="559" ht="15.75" customHeight="1" s="32"/>
    <row r="560" ht="15.75" customHeight="1" s="32"/>
    <row r="561" ht="15.75" customHeight="1" s="32"/>
    <row r="562" ht="15.75" customHeight="1" s="32"/>
    <row r="563" ht="15.75" customHeight="1" s="32"/>
    <row r="564" ht="15.75" customHeight="1" s="32"/>
    <row r="565" ht="15.75" customHeight="1" s="32"/>
    <row r="566" ht="15.75" customHeight="1" s="32"/>
    <row r="567" ht="15.75" customHeight="1" s="32"/>
    <row r="568" ht="15.75" customHeight="1" s="32"/>
    <row r="569" ht="15.75" customHeight="1" s="32"/>
    <row r="570" ht="15.75" customHeight="1" s="32"/>
    <row r="571" ht="15.75" customHeight="1" s="32"/>
    <row r="572" ht="15.75" customHeight="1" s="32"/>
    <row r="573" ht="15.75" customHeight="1" s="32"/>
    <row r="574" ht="15.75" customHeight="1" s="32"/>
    <row r="575" ht="15.75" customHeight="1" s="32"/>
    <row r="576" ht="15.75" customHeight="1" s="32"/>
    <row r="577" ht="15.75" customHeight="1" s="32"/>
    <row r="578" ht="15.75" customHeight="1" s="32"/>
    <row r="579" ht="15.75" customHeight="1" s="32"/>
    <row r="580" ht="15.75" customHeight="1" s="32"/>
    <row r="581" ht="15.75" customHeight="1" s="32"/>
    <row r="582" ht="15.75" customHeight="1" s="32"/>
    <row r="583" ht="15.75" customHeight="1" s="32"/>
    <row r="584" ht="15.75" customHeight="1" s="32"/>
    <row r="585" ht="15.75" customHeight="1" s="32"/>
    <row r="586" ht="15.75" customHeight="1" s="32"/>
    <row r="587" ht="15.75" customHeight="1" s="32"/>
    <row r="588" ht="15.75" customHeight="1" s="32"/>
    <row r="589" ht="15.75" customHeight="1" s="32"/>
    <row r="590" ht="15.75" customHeight="1" s="32"/>
    <row r="591" ht="15.75" customHeight="1" s="32"/>
    <row r="592" ht="15.75" customHeight="1" s="32"/>
    <row r="593" ht="15.75" customHeight="1" s="32"/>
    <row r="594" ht="15.75" customHeight="1" s="32"/>
    <row r="595" ht="15.75" customHeight="1" s="32"/>
    <row r="596" ht="15.75" customHeight="1" s="32"/>
    <row r="597" ht="15.75" customHeight="1" s="32"/>
    <row r="598" ht="15.75" customHeight="1" s="32"/>
    <row r="599" ht="15.75" customHeight="1" s="32"/>
    <row r="600" ht="15.75" customHeight="1" s="32"/>
    <row r="601" ht="15.75" customHeight="1" s="32"/>
    <row r="602" ht="15.75" customHeight="1" s="32"/>
    <row r="603" ht="15.75" customHeight="1" s="32"/>
    <row r="604" ht="15.75" customHeight="1" s="32"/>
    <row r="605" ht="15.75" customHeight="1" s="32"/>
    <row r="606" ht="15.75" customHeight="1" s="32"/>
    <row r="607" ht="15.75" customHeight="1" s="32"/>
    <row r="608" ht="15.75" customHeight="1" s="32"/>
    <row r="609" ht="15.75" customHeight="1" s="32"/>
    <row r="610" ht="15.75" customHeight="1" s="32"/>
    <row r="611" ht="15.75" customHeight="1" s="32"/>
    <row r="612" ht="15.75" customHeight="1" s="32"/>
    <row r="613" ht="15.75" customHeight="1" s="32"/>
    <row r="614" ht="15.75" customHeight="1" s="32"/>
    <row r="615" ht="15.75" customHeight="1" s="32"/>
    <row r="616" ht="15.75" customHeight="1" s="32"/>
    <row r="617" ht="15.75" customHeight="1" s="32"/>
    <row r="618" ht="15.75" customHeight="1" s="32"/>
    <row r="619" ht="15.75" customHeight="1" s="32"/>
    <row r="620" ht="15.75" customHeight="1" s="32"/>
    <row r="621" ht="15.75" customHeight="1" s="32"/>
    <row r="622" ht="15.75" customHeight="1" s="32"/>
    <row r="623" ht="15.75" customHeight="1" s="32"/>
    <row r="624" ht="15.75" customHeight="1" s="32"/>
    <row r="625" ht="15.75" customHeight="1" s="32"/>
    <row r="626" ht="15.75" customHeight="1" s="32"/>
    <row r="627" ht="15.75" customHeight="1" s="32"/>
    <row r="628" ht="15.75" customHeight="1" s="32"/>
    <row r="629" ht="15.75" customHeight="1" s="32"/>
    <row r="630" ht="15.75" customHeight="1" s="32"/>
    <row r="631" ht="15.75" customHeight="1" s="32"/>
    <row r="632" ht="15.75" customHeight="1" s="32"/>
    <row r="633" ht="15.75" customHeight="1" s="32"/>
    <row r="634" ht="15.75" customHeight="1" s="32"/>
    <row r="635" ht="15.75" customHeight="1" s="32"/>
    <row r="636" ht="15.75" customHeight="1" s="32"/>
    <row r="637" ht="15.75" customHeight="1" s="32"/>
    <row r="638" ht="15.75" customHeight="1" s="32"/>
    <row r="639" ht="15.75" customHeight="1" s="32"/>
    <row r="640" ht="15.75" customHeight="1" s="32"/>
    <row r="641" ht="15.75" customHeight="1" s="32"/>
    <row r="642" ht="15.75" customHeight="1" s="32"/>
    <row r="643" ht="15.75" customHeight="1" s="32"/>
    <row r="644" ht="15.75" customHeight="1" s="32"/>
    <row r="645" ht="15.75" customHeight="1" s="32"/>
    <row r="646" ht="15.75" customHeight="1" s="32"/>
    <row r="647" ht="15.75" customHeight="1" s="32"/>
    <row r="648" ht="15.75" customHeight="1" s="32"/>
    <row r="649" ht="15.75" customHeight="1" s="32"/>
    <row r="650" ht="15.75" customHeight="1" s="32"/>
    <row r="651" ht="15.75" customHeight="1" s="32"/>
    <row r="652" ht="15.75" customHeight="1" s="32"/>
    <row r="653" ht="15.75" customHeight="1" s="32"/>
    <row r="654" ht="15.75" customHeight="1" s="32"/>
    <row r="655" ht="15.75" customHeight="1" s="32"/>
    <row r="656" ht="15.75" customHeight="1" s="32"/>
    <row r="657" ht="15.75" customHeight="1" s="32"/>
    <row r="658" ht="15.75" customHeight="1" s="32"/>
    <row r="659" ht="15.75" customHeight="1" s="32"/>
    <row r="660" ht="15.75" customHeight="1" s="32"/>
    <row r="661" ht="15.75" customHeight="1" s="32"/>
    <row r="662" ht="15.75" customHeight="1" s="32"/>
    <row r="663" ht="15.75" customHeight="1" s="32"/>
    <row r="664" ht="15.75" customHeight="1" s="32"/>
    <row r="665" ht="15.75" customHeight="1" s="32"/>
    <row r="666" ht="15.75" customHeight="1" s="32"/>
    <row r="667" ht="15.75" customHeight="1" s="32"/>
    <row r="668" ht="15.75" customHeight="1" s="32"/>
    <row r="669" ht="15.75" customHeight="1" s="32"/>
    <row r="670" ht="15.75" customHeight="1" s="32"/>
    <row r="671" ht="15.75" customHeight="1" s="32"/>
    <row r="672" ht="15.75" customHeight="1" s="32"/>
    <row r="673" ht="15.75" customHeight="1" s="32"/>
    <row r="674" ht="15.75" customHeight="1" s="32"/>
    <row r="675" ht="15.75" customHeight="1" s="32"/>
    <row r="676" ht="15.75" customHeight="1" s="32"/>
    <row r="677" ht="15.75" customHeight="1" s="32"/>
    <row r="678" ht="15.75" customHeight="1" s="32"/>
    <row r="679" ht="15.75" customHeight="1" s="32"/>
    <row r="680" ht="15.75" customHeight="1" s="32"/>
    <row r="681" ht="15.75" customHeight="1" s="32"/>
    <row r="682" ht="15.75" customHeight="1" s="32"/>
    <row r="683" ht="15.75" customHeight="1" s="32"/>
    <row r="684" ht="15.75" customHeight="1" s="32"/>
    <row r="685" ht="15.75" customHeight="1" s="32"/>
    <row r="686" ht="15.75" customHeight="1" s="32"/>
    <row r="687" ht="15.75" customHeight="1" s="32"/>
    <row r="688" ht="15.75" customHeight="1" s="32"/>
    <row r="689" ht="15.75" customHeight="1" s="32"/>
    <row r="690" ht="15.75" customHeight="1" s="32"/>
    <row r="691" ht="15.75" customHeight="1" s="32"/>
    <row r="692" ht="15.75" customHeight="1" s="32"/>
    <row r="693" ht="15.75" customHeight="1" s="32"/>
    <row r="694" ht="15.75" customHeight="1" s="32"/>
    <row r="695" ht="15.75" customHeight="1" s="32"/>
    <row r="696" ht="15.75" customHeight="1" s="32"/>
    <row r="697" ht="15.75" customHeight="1" s="32"/>
    <row r="698" ht="15.75" customHeight="1" s="32"/>
    <row r="699" ht="15.75" customHeight="1" s="32"/>
    <row r="700" ht="15.75" customHeight="1" s="32"/>
    <row r="701" ht="15.75" customHeight="1" s="32"/>
    <row r="702" ht="15.75" customHeight="1" s="32"/>
    <row r="703" ht="15.75" customHeight="1" s="32"/>
    <row r="704" ht="15.75" customHeight="1" s="32"/>
    <row r="705" ht="15.75" customHeight="1" s="32"/>
    <row r="706" ht="15.75" customHeight="1" s="32"/>
    <row r="707" ht="15.75" customHeight="1" s="32"/>
    <row r="708" ht="15.75" customHeight="1" s="32"/>
    <row r="709" ht="15.75" customHeight="1" s="32"/>
    <row r="710" ht="15.75" customHeight="1" s="32"/>
    <row r="711" ht="15.75" customHeight="1" s="32"/>
    <row r="712" ht="15.75" customHeight="1" s="32"/>
    <row r="713" ht="15.75" customHeight="1" s="32"/>
    <row r="714" ht="15.75" customHeight="1" s="32"/>
    <row r="715" ht="15.75" customHeight="1" s="32"/>
    <row r="716" ht="15.75" customHeight="1" s="32"/>
    <row r="717" ht="15.75" customHeight="1" s="32"/>
    <row r="718" ht="15.75" customHeight="1" s="32"/>
    <row r="719" ht="15.75" customHeight="1" s="32"/>
    <row r="720" ht="15.75" customHeight="1" s="32"/>
    <row r="721" ht="15.75" customHeight="1" s="32"/>
    <row r="722" ht="15.75" customHeight="1" s="32"/>
    <row r="723" ht="15.75" customHeight="1" s="32"/>
    <row r="724" ht="15.75" customHeight="1" s="32"/>
    <row r="725" ht="15.75" customHeight="1" s="32"/>
    <row r="726" ht="15.75" customHeight="1" s="32"/>
    <row r="727" ht="15.75" customHeight="1" s="32"/>
    <row r="728" ht="15.75" customHeight="1" s="32"/>
    <row r="729" ht="15.75" customHeight="1" s="32"/>
    <row r="730" ht="15.75" customHeight="1" s="32"/>
    <row r="731" ht="15.75" customHeight="1" s="32"/>
    <row r="732" ht="15.75" customHeight="1" s="32"/>
    <row r="733" ht="15.75" customHeight="1" s="32"/>
    <row r="734" ht="15.75" customHeight="1" s="32"/>
    <row r="735" ht="15.75" customHeight="1" s="32"/>
    <row r="736" ht="15.75" customHeight="1" s="32"/>
    <row r="737" ht="15.75" customHeight="1" s="32"/>
    <row r="738" ht="15.75" customHeight="1" s="32"/>
    <row r="739" ht="15.75" customHeight="1" s="32"/>
    <row r="740" ht="15.75" customHeight="1" s="32"/>
    <row r="741" ht="15.75" customHeight="1" s="32"/>
    <row r="742" ht="15.75" customHeight="1" s="32"/>
    <row r="743" ht="15.75" customHeight="1" s="32"/>
    <row r="744" ht="15.75" customHeight="1" s="32"/>
    <row r="745" ht="15.75" customHeight="1" s="32"/>
    <row r="746" ht="15.75" customHeight="1" s="32"/>
    <row r="747" ht="15.75" customHeight="1" s="32"/>
    <row r="748" ht="15.75" customHeight="1" s="32"/>
    <row r="749" ht="15.75" customHeight="1" s="32"/>
    <row r="750" ht="15.75" customHeight="1" s="32"/>
    <row r="751" ht="15.75" customHeight="1" s="32"/>
    <row r="752" ht="15.75" customHeight="1" s="32"/>
    <row r="753" ht="15.75" customHeight="1" s="32"/>
    <row r="754" ht="15.75" customHeight="1" s="32"/>
    <row r="755" ht="15.75" customHeight="1" s="32"/>
    <row r="756" ht="15.75" customHeight="1" s="32"/>
    <row r="757" ht="15.75" customHeight="1" s="32"/>
    <row r="758" ht="15.75" customHeight="1" s="32"/>
    <row r="759" ht="15.75" customHeight="1" s="32"/>
    <row r="760" ht="15.75" customHeight="1" s="32"/>
    <row r="761" ht="15.75" customHeight="1" s="32"/>
    <row r="762" ht="15.75" customHeight="1" s="32"/>
    <row r="763" ht="15.75" customHeight="1" s="32"/>
    <row r="764" ht="15.75" customHeight="1" s="32"/>
    <row r="765" ht="15.75" customHeight="1" s="32"/>
    <row r="766" ht="15.75" customHeight="1" s="32"/>
    <row r="767" ht="15.75" customHeight="1" s="32"/>
    <row r="768" ht="15.75" customHeight="1" s="32"/>
    <row r="769" ht="15.75" customHeight="1" s="32"/>
    <row r="770" ht="15.75" customHeight="1" s="32"/>
    <row r="771" ht="15.75" customHeight="1" s="32"/>
    <row r="772" ht="15.75" customHeight="1" s="32"/>
    <row r="773" ht="15.75" customHeight="1" s="32"/>
    <row r="774" ht="15.75" customHeight="1" s="32"/>
    <row r="775" ht="15.75" customHeight="1" s="32"/>
    <row r="776" ht="15.75" customHeight="1" s="32"/>
    <row r="777" ht="15.75" customHeight="1" s="32"/>
    <row r="778" ht="15.75" customHeight="1" s="32"/>
    <row r="779" ht="15.75" customHeight="1" s="32"/>
    <row r="780" ht="15.75" customHeight="1" s="32"/>
    <row r="781" ht="15.75" customHeight="1" s="32"/>
    <row r="782" ht="15.75" customHeight="1" s="32"/>
    <row r="783" ht="15.75" customHeight="1" s="32"/>
    <row r="784" ht="15.75" customHeight="1" s="32"/>
    <row r="785" ht="15.75" customHeight="1" s="32"/>
    <row r="786" ht="15.75" customHeight="1" s="32"/>
    <row r="787" ht="15.75" customHeight="1" s="32"/>
    <row r="788" ht="15.75" customHeight="1" s="32"/>
    <row r="789" ht="15.75" customHeight="1" s="32"/>
    <row r="790" ht="15.75" customHeight="1" s="32"/>
    <row r="791" ht="15.75" customHeight="1" s="32"/>
    <row r="792" ht="15.75" customHeight="1" s="32"/>
    <row r="793" ht="15.75" customHeight="1" s="32"/>
    <row r="794" ht="15.75" customHeight="1" s="32"/>
    <row r="795" ht="15.75" customHeight="1" s="32"/>
    <row r="796" ht="15.75" customHeight="1" s="32"/>
    <row r="797" ht="15.75" customHeight="1" s="32"/>
    <row r="798" ht="15.75" customHeight="1" s="32"/>
    <row r="799" ht="15.75" customHeight="1" s="32"/>
    <row r="800" ht="15.75" customHeight="1" s="32"/>
    <row r="801" ht="15.75" customHeight="1" s="32"/>
    <row r="802" ht="15.75" customHeight="1" s="32"/>
    <row r="803" ht="15.75" customHeight="1" s="32"/>
    <row r="804" ht="15.75" customHeight="1" s="32"/>
    <row r="805" ht="15.75" customHeight="1" s="32"/>
    <row r="806" ht="15.75" customHeight="1" s="32"/>
    <row r="807" ht="15.75" customHeight="1" s="32"/>
    <row r="808" ht="15.75" customHeight="1" s="32"/>
    <row r="809" ht="15.75" customHeight="1" s="32"/>
    <row r="810" ht="15.75" customHeight="1" s="32"/>
    <row r="811" ht="15.75" customHeight="1" s="32"/>
    <row r="812" ht="15.75" customHeight="1" s="32"/>
    <row r="813" ht="15.75" customHeight="1" s="32"/>
    <row r="814" ht="15.75" customHeight="1" s="32"/>
    <row r="815" ht="15.75" customHeight="1" s="32"/>
    <row r="816" ht="15.75" customHeight="1" s="32"/>
    <row r="817" ht="15.75" customHeight="1" s="32"/>
    <row r="818" ht="15.75" customHeight="1" s="32"/>
    <row r="819" ht="15.75" customHeight="1" s="32"/>
    <row r="820" ht="15.75" customHeight="1" s="32"/>
    <row r="821" ht="15.75" customHeight="1" s="32"/>
    <row r="822" ht="15.75" customHeight="1" s="32"/>
    <row r="823" ht="15.75" customHeight="1" s="32"/>
    <row r="824" ht="15.75" customHeight="1" s="32"/>
    <row r="825" ht="15.75" customHeight="1" s="32"/>
    <row r="826" ht="15.75" customHeight="1" s="32"/>
    <row r="827" ht="15.75" customHeight="1" s="32"/>
    <row r="828" ht="15.75" customHeight="1" s="32"/>
    <row r="829" ht="15.75" customHeight="1" s="32"/>
    <row r="830" ht="15.75" customHeight="1" s="32"/>
    <row r="831" ht="15.75" customHeight="1" s="32"/>
    <row r="832" ht="15.75" customHeight="1" s="32"/>
    <row r="833" ht="15.75" customHeight="1" s="32"/>
    <row r="834" ht="15.75" customHeight="1" s="32"/>
    <row r="835" ht="15.75" customHeight="1" s="32"/>
    <row r="836" ht="15.75" customHeight="1" s="32"/>
    <row r="837" ht="15.75" customHeight="1" s="32"/>
    <row r="838" ht="15.75" customHeight="1" s="32"/>
    <row r="839" ht="15.75" customHeight="1" s="32"/>
    <row r="840" ht="15.75" customHeight="1" s="32"/>
    <row r="841" ht="15.75" customHeight="1" s="32"/>
    <row r="842" ht="15.75" customHeight="1" s="32"/>
    <row r="843" ht="15.75" customHeight="1" s="32"/>
    <row r="844" ht="15.75" customHeight="1" s="32"/>
    <row r="845" ht="15.75" customHeight="1" s="32"/>
    <row r="846" ht="15.75" customHeight="1" s="32"/>
    <row r="847" ht="15.75" customHeight="1" s="32"/>
    <row r="848" ht="15.75" customHeight="1" s="32"/>
    <row r="849" ht="15.75" customHeight="1" s="32"/>
    <row r="850" ht="15.75" customHeight="1" s="32"/>
    <row r="851" ht="15.75" customHeight="1" s="32"/>
    <row r="852" ht="15.75" customHeight="1" s="32"/>
    <row r="853" ht="15.75" customHeight="1" s="32"/>
    <row r="854" ht="15.75" customHeight="1" s="32"/>
    <row r="855" ht="15.75" customHeight="1" s="32"/>
    <row r="856" ht="15.75" customHeight="1" s="32"/>
    <row r="857" ht="15.75" customHeight="1" s="32"/>
    <row r="858" ht="15.75" customHeight="1" s="32"/>
    <row r="859" ht="15.75" customHeight="1" s="32"/>
    <row r="860" ht="15.75" customHeight="1" s="32"/>
    <row r="861" ht="15.75" customHeight="1" s="32"/>
    <row r="862" ht="15.75" customHeight="1" s="32"/>
    <row r="863" ht="15.75" customHeight="1" s="32"/>
    <row r="864" ht="15.75" customHeight="1" s="32"/>
    <row r="865" ht="15.75" customHeight="1" s="32"/>
    <row r="866" ht="15.75" customHeight="1" s="32"/>
    <row r="867" ht="15.75" customHeight="1" s="32"/>
    <row r="868" ht="15.75" customHeight="1" s="32"/>
    <row r="869" ht="15.75" customHeight="1" s="32"/>
    <row r="870" ht="15.75" customHeight="1" s="32"/>
    <row r="871" ht="15.75" customHeight="1" s="32"/>
    <row r="872" ht="15.75" customHeight="1" s="32"/>
    <row r="873" ht="15.75" customHeight="1" s="32"/>
    <row r="874" ht="15.75" customHeight="1" s="32"/>
    <row r="875" ht="15.75" customHeight="1" s="32"/>
    <row r="876" ht="15.75" customHeight="1" s="32"/>
    <row r="877" ht="15.75" customHeight="1" s="32"/>
    <row r="878" ht="15.75" customHeight="1" s="32"/>
    <row r="879" ht="15.75" customHeight="1" s="32"/>
    <row r="880" ht="15.75" customHeight="1" s="32"/>
    <row r="881" ht="15.75" customHeight="1" s="32"/>
    <row r="882" ht="15.75" customHeight="1" s="32"/>
    <row r="883" ht="15.75" customHeight="1" s="32"/>
    <row r="884" ht="15.75" customHeight="1" s="32"/>
    <row r="885" ht="15.75" customHeight="1" s="32"/>
    <row r="886" ht="15.75" customHeight="1" s="32"/>
    <row r="887" ht="15.75" customHeight="1" s="32"/>
    <row r="888" ht="15.75" customHeight="1" s="32"/>
    <row r="889" ht="15.75" customHeight="1" s="32"/>
    <row r="890" ht="15.75" customHeight="1" s="32"/>
    <row r="891" ht="15.75" customHeight="1" s="32"/>
    <row r="892" ht="15.75" customHeight="1" s="32"/>
    <row r="893" ht="15.75" customHeight="1" s="32"/>
    <row r="894" ht="15.75" customHeight="1" s="32"/>
    <row r="895" ht="15.75" customHeight="1" s="32"/>
    <row r="896" ht="15.75" customHeight="1" s="32"/>
    <row r="897" ht="15.75" customHeight="1" s="32"/>
    <row r="898" ht="15.75" customHeight="1" s="32"/>
    <row r="899" ht="15.75" customHeight="1" s="32"/>
    <row r="900" ht="15.75" customHeight="1" s="32"/>
    <row r="901" ht="15.75" customHeight="1" s="32"/>
    <row r="902" ht="15.75" customHeight="1" s="32"/>
    <row r="903" ht="15.75" customHeight="1" s="32"/>
    <row r="904" ht="15.75" customHeight="1" s="32"/>
    <row r="905" ht="15.75" customHeight="1" s="32"/>
    <row r="906" ht="15.75" customHeight="1" s="32"/>
    <row r="907" ht="15.75" customHeight="1" s="32"/>
    <row r="908" ht="15.75" customHeight="1" s="32"/>
    <row r="909" ht="15.75" customHeight="1" s="32"/>
    <row r="910" ht="15.75" customHeight="1" s="32"/>
    <row r="911" ht="15.75" customHeight="1" s="32"/>
    <row r="912" ht="15.75" customHeight="1" s="32"/>
    <row r="913" ht="15.75" customHeight="1" s="32"/>
    <row r="914" ht="15.75" customHeight="1" s="32"/>
    <row r="915" ht="15.75" customHeight="1" s="32"/>
    <row r="916" ht="15.75" customHeight="1" s="32"/>
    <row r="917" ht="15.75" customHeight="1" s="32"/>
    <row r="918" ht="15.75" customHeight="1" s="32"/>
    <row r="919" ht="15.75" customHeight="1" s="32"/>
    <row r="920" ht="15.75" customHeight="1" s="32"/>
    <row r="921" ht="15.75" customHeight="1" s="32"/>
    <row r="922" ht="15.75" customHeight="1" s="32"/>
    <row r="923" ht="15.75" customHeight="1" s="32"/>
    <row r="924" ht="15.75" customHeight="1" s="32"/>
    <row r="925" ht="15.75" customHeight="1" s="32"/>
    <row r="926" ht="15.75" customHeight="1" s="32"/>
    <row r="927" ht="15.75" customHeight="1" s="32"/>
    <row r="928" ht="15.75" customHeight="1" s="32"/>
    <row r="929" ht="15.75" customHeight="1" s="32"/>
    <row r="930" ht="15.75" customHeight="1" s="32"/>
    <row r="931" ht="15.75" customHeight="1" s="32"/>
    <row r="932" ht="15.75" customHeight="1" s="32"/>
    <row r="933" ht="15.75" customHeight="1" s="32"/>
    <row r="934" ht="15.75" customHeight="1" s="32"/>
    <row r="935" ht="15.75" customHeight="1" s="32"/>
    <row r="936" ht="15.75" customHeight="1" s="32"/>
    <row r="937" ht="15.75" customHeight="1" s="32"/>
    <row r="938" ht="15.75" customHeight="1" s="32"/>
    <row r="939" ht="15.75" customHeight="1" s="32"/>
    <row r="940" ht="15.75" customHeight="1" s="32"/>
    <row r="941" ht="15.75" customHeight="1" s="32"/>
    <row r="942" ht="15.75" customHeight="1" s="32"/>
    <row r="943" ht="15.75" customHeight="1" s="32"/>
    <row r="944" ht="15.75" customHeight="1" s="32"/>
    <row r="945" ht="15.75" customHeight="1" s="32"/>
    <row r="946" ht="15.75" customHeight="1" s="32"/>
    <row r="947" ht="15.75" customHeight="1" s="32"/>
    <row r="948" ht="15.75" customHeight="1" s="32"/>
    <row r="949" ht="15.75" customHeight="1" s="32"/>
    <row r="950" ht="15.75" customHeight="1" s="32"/>
    <row r="951" ht="15.75" customHeight="1" s="32"/>
    <row r="952" ht="15.75" customHeight="1" s="32"/>
    <row r="953" ht="15.75" customHeight="1" s="32"/>
    <row r="954" ht="15.75" customHeight="1" s="32"/>
    <row r="955" ht="15.75" customHeight="1" s="32"/>
    <row r="956" ht="15.75" customHeight="1" s="32"/>
    <row r="957" ht="15.75" customHeight="1" s="32"/>
    <row r="958" ht="15.75" customHeight="1" s="32"/>
    <row r="959" ht="15.75" customHeight="1" s="32"/>
    <row r="960" ht="15.75" customHeight="1" s="32"/>
    <row r="961" ht="15.75" customHeight="1" s="32"/>
    <row r="962" ht="15.75" customHeight="1" s="32"/>
    <row r="963" ht="15.75" customHeight="1" s="32"/>
    <row r="964" ht="15.75" customHeight="1" s="32"/>
    <row r="965" ht="15.75" customHeight="1" s="32"/>
    <row r="966" ht="15.75" customHeight="1" s="32"/>
    <row r="967" ht="15.75" customHeight="1" s="32"/>
    <row r="968" ht="15.75" customHeight="1" s="32"/>
    <row r="969" ht="15.75" customHeight="1" s="32"/>
    <row r="970" ht="15.75" customHeight="1" s="32"/>
    <row r="971" ht="15.75" customHeight="1" s="32"/>
    <row r="972" ht="15.75" customHeight="1" s="32"/>
    <row r="973" ht="15.75" customHeight="1" s="32"/>
    <row r="974" ht="15.75" customHeight="1" s="32"/>
    <row r="975" ht="15.75" customHeight="1" s="32"/>
    <row r="976" ht="15.75" customHeight="1" s="32"/>
    <row r="977" ht="15.75" customHeight="1" s="32"/>
    <row r="978" ht="15.75" customHeight="1" s="32"/>
    <row r="979" ht="15.75" customHeight="1" s="32"/>
    <row r="980" ht="15.75" customHeight="1" s="32"/>
    <row r="981" ht="15.75" customHeight="1" s="32"/>
    <row r="982" ht="15.75" customHeight="1" s="32"/>
    <row r="983" ht="15.75" customHeight="1" s="32"/>
    <row r="984" ht="15.75" customHeight="1" s="32"/>
    <row r="985" ht="15.75" customHeight="1" s="32"/>
    <row r="986" ht="15.75" customHeight="1" s="32"/>
    <row r="987" ht="15.75" customHeight="1" s="32"/>
    <row r="988" ht="15.75" customHeight="1" s="32"/>
    <row r="989" ht="15.75" customHeight="1" s="32"/>
    <row r="990" ht="15.75" customHeight="1" s="32"/>
    <row r="991" ht="15.75" customHeight="1" s="32"/>
    <row r="992" ht="15.75" customHeight="1" s="32"/>
    <row r="993" ht="15.75" customHeight="1" s="32"/>
    <row r="994" ht="15.75" customHeight="1" s="32"/>
    <row r="995" ht="15.75" customHeight="1" s="32"/>
    <row r="996" ht="15.75" customHeight="1" s="32"/>
    <row r="997" ht="15.75" customHeight="1" s="32"/>
    <row r="998" ht="15.75" customHeight="1" s="32"/>
    <row r="999" ht="15.75" customHeight="1" s="32"/>
    <row r="1000" ht="15.75" customHeight="1" s="32"/>
  </sheetData>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2026-09-10T20:55:34Z</dcterms:created>
  <dcterms:modified xmlns:dcterms="http://purl.org/dc/terms/" xmlns:xsi="http://www.w3.org/2001/XMLSchema-instance" xsi:type="dcterms:W3CDTF">2026-09-13T17:55:03Z</dcterms:modified>
</cp:coreProperties>
</file>